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tudent\Documents\ex\guided project\"/>
    </mc:Choice>
  </mc:AlternateContent>
  <xr:revisionPtr revIDLastSave="0" documentId="13_ncr:1_{2F8190CF-6800-46A7-A032-6BCDCE740B67}"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bike_buyers!$A$1:$M$1027</definedName>
    <definedName name="_xlnm._FilterDatabase" localSheetId="2" hidden="1">'Pivot Table'!$A$111:$A$112</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3" r:id="rId5"/>
    <pivotCache cacheId="2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2" i="3" l="1"/>
  <c r="A115" i="3"/>
  <c r="A109" i="3"/>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<sst xmlns="http://schemas.openxmlformats.org/spreadsheetml/2006/main" count="16320" uniqueCount="55">
  <si>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</si>
  <si>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</si>
  <si>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</si>
  <si>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</si>
  <si>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</si>
  <si>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</si>
  <si>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</si>
  <si>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</si>
  <si>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</si>
  <si>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</si>
  <si>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</si>
  <si>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</si>
  <si>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</si>
  <si>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</si>
  <si>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</si>
  <si>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</si>
  <si>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</si>
  <si>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</si>
  <si>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</si>
  <si>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</si>
  <si>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</si>
  <si>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</si>
  <si>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</si>
  <si>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</si>
  <si>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</si>
  <si>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</si>
  <si>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</si>
  <si>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</si>
  <si>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</si>
  <si>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</si>
  <si>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</si>
  <si>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</si>
  <si>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</si>
  <si>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</si>
  <si>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</si>
  <si>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</si>
  <si>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</si>
  <si>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</si>
  <si>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</si>
  <si>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</si>
  <si>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</si>
  <si>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</si>
  <si>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</si>
  <si>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</si>
  <si>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</si>
  <si>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</si>
  <si>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</si>
  <si>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Adolescnt</t>
  </si>
  <si>
    <t>Middle Stage</t>
  </si>
  <si>
    <t>Old</t>
  </si>
  <si>
    <t>% of Purchased Bike</t>
  </si>
  <si>
    <t>Total Orders</t>
  </si>
  <si>
    <t>Total Revenue</t>
  </si>
  <si>
    <t>Top Age Group</t>
  </si>
  <si>
    <t>Bike Purchase Behavior &amp; Customer Segmentation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</si>
</sst>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quot;R&quot;#,##0"/>
    <numFmt numFmtId="181" formatCode="0,,&quot;M&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8"/>
      <name val="Calibri"/>
      <family val="2"/>
      <scheme val="minor"/>
    </font>
    <font>
      <b/>
      <sz val="11"/>
      <color theme="1"/>
      <name val="Arial"/>
      <family val="2"/>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0" fillId="0" borderId="0" xfId="0" applyNumberFormat="1"/>
    <xf numFmtId="9" fontId="0" fillId="0" borderId="0" xfId="0" applyNumberFormat="1"/>
    <xf numFmtId="0" fontId="0" fillId="0" borderId="0" xfId="0" pivotButton="1" applyNumberFormat="1"/>
    <xf numFmtId="0" fontId="0" fillId="0" borderId="0" xfId="0" applyNumberFormat="1" applyAlignment="1">
      <alignment horizontal="left"/>
    </xf>
    <xf numFmtId="0" fontId="20" fillId="0" borderId="0" xfId="0" applyFont="1"/>
    <xf numFmtId="9" fontId="0" fillId="0" borderId="0" xfId="43" applyFont="1"/>
    <xf numFmtId="0" fontId="0" fillId="33" borderId="0" xfId="0" applyFill="1"/>
    <xf numFmtId="181" fontId="0" fillId="0" borderId="0" xfId="42" applyNumberFormat="1" applyFont="1" applyAlignment="1"/>
    <xf numFmtId="0" fontId="0" fillId="34" borderId="0" xfId="0" applyFont="1" applyFill="1" applyAlignment="1">
      <alignment horizontal="left" vertical="center"/>
    </xf>
    <xf numFmtId="0" fontId="0" fillId="34" borderId="0" xfId="0" applyFont="1" applyFill="1"/>
    <xf numFmtId="0" fontId="21" fillId="34" borderId="0" xfId="0" applyFont="1" applyFill="1" applyAlignment="1">
      <alignment horizontal="lef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4315-4D6D-B378-3F77460D457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4315-4D6D-B378-3F77460D4575}"/>
            </c:ext>
          </c:extLst>
        </c:ser>
        <c:dLbls>
          <c:showLegendKey val="0"/>
          <c:showVal val="0"/>
          <c:showCatName val="0"/>
          <c:showSerName val="0"/>
          <c:showPercent val="0"/>
          <c:showBubbleSize val="0"/>
        </c:dLbls>
        <c:gapWidth val="219"/>
        <c:overlap val="-27"/>
        <c:axId val="1563020927"/>
        <c:axId val="1563025247"/>
      </c:barChart>
      <c:catAx>
        <c:axId val="156302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25247"/>
        <c:crosses val="autoZero"/>
        <c:auto val="1"/>
        <c:lblAlgn val="ctr"/>
        <c:lblOffset val="100"/>
        <c:noMultiLvlLbl val="0"/>
      </c:catAx>
      <c:valAx>
        <c:axId val="156302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20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6"/>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0%</c:formatCode>
                <c:ptCount val="5"/>
                <c:pt idx="0">
                  <c:v>0.45355191256830601</c:v>
                </c:pt>
                <c:pt idx="1">
                  <c:v>0.54437869822485208</c:v>
                </c:pt>
                <c:pt idx="2">
                  <c:v>0.41358024691358025</c:v>
                </c:pt>
                <c:pt idx="3">
                  <c:v>0.60416666666666663</c:v>
                </c:pt>
                <c:pt idx="4">
                  <c:v>0.70270270270270274</c:v>
                </c:pt>
              </c:numCache>
            </c:numRef>
          </c:val>
          <c:smooth val="0"/>
          <c:extLst>
            <c:ext xmlns:c16="http://schemas.microsoft.com/office/drawing/2014/chart" uri="{C3380CC4-5D6E-409C-BE32-E72D297353CC}">
              <c16:uniqueId val="{00000000-9DB0-41AD-B9F4-FA56F082DADB}"/>
            </c:ext>
          </c:extLst>
        </c:ser>
        <c:ser>
          <c:idx val="1"/>
          <c:order val="1"/>
          <c:tx>
            <c:strRef>
              <c:f>'Pivot Table'!$C$19:$C$20</c:f>
              <c:strCache>
                <c:ptCount val="1"/>
                <c:pt idx="0">
                  <c:v>Yes</c:v>
                </c:pt>
              </c:strCache>
            </c:strRef>
          </c:tx>
          <c:spPr>
            <a:ln w="28575" cap="rnd">
              <a:solidFill>
                <a:schemeClr val="accent5"/>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1-9DB0-41AD-B9F4-FA56F082DADB}"/>
            </c:ext>
          </c:extLst>
        </c:ser>
        <c:dLbls>
          <c:showLegendKey val="0"/>
          <c:showVal val="0"/>
          <c:showCatName val="0"/>
          <c:showSerName val="0"/>
          <c:showPercent val="0"/>
          <c:showBubbleSize val="0"/>
        </c:dLbls>
        <c:smooth val="0"/>
        <c:axId val="1563057887"/>
        <c:axId val="1563051647"/>
      </c:lineChart>
      <c:catAx>
        <c:axId val="156305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51647"/>
        <c:crosses val="autoZero"/>
        <c:auto val="1"/>
        <c:lblAlgn val="ctr"/>
        <c:lblOffset val="100"/>
        <c:noMultiLvlLbl val="0"/>
      </c:catAx>
      <c:valAx>
        <c:axId val="1563051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5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Adolescnt</c:v>
                </c:pt>
                <c:pt idx="1">
                  <c:v>Middle Stage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3E1-4A20-84AD-DC9F1876E0F3}"/>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Adolescnt</c:v>
                </c:pt>
                <c:pt idx="1">
                  <c:v>Middle Stage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3E1-4A20-84AD-DC9F1876E0F3}"/>
            </c:ext>
          </c:extLst>
        </c:ser>
        <c:dLbls>
          <c:showLegendKey val="0"/>
          <c:showVal val="0"/>
          <c:showCatName val="0"/>
          <c:showSerName val="0"/>
          <c:showPercent val="0"/>
          <c:showBubbleSize val="0"/>
        </c:dLbls>
        <c:marker val="1"/>
        <c:smooth val="0"/>
        <c:axId val="1103302975"/>
        <c:axId val="1103302495"/>
      </c:lineChart>
      <c:catAx>
        <c:axId val="1103302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02495"/>
        <c:crosses val="autoZero"/>
        <c:auto val="1"/>
        <c:lblAlgn val="ctr"/>
        <c:lblOffset val="100"/>
        <c:noMultiLvlLbl val="0"/>
      </c:catAx>
      <c:valAx>
        <c:axId val="110330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0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Table!PivotTable4</c:name>
    <c:fmtId val="55"/>
  </c:pivotSource>
  <c:chart>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pivotFmt>
      <c:pivotFmt>
        <c:idx val="3"/>
        <c:spPr>
          <a:ln w="28575" cap="rnd">
            <a:solidFill>
              <a:schemeClr val="accent5"/>
            </a:solidFill>
            <a:round/>
          </a:ln>
          <a:effectLst/>
        </c:spPr>
        <c:marker>
          <c:symbol val="none"/>
        </c:marker>
      </c:pivotFmt>
      <c:pivotFmt>
        <c:idx val="4"/>
        <c:spPr>
          <a:ln w="28575" cap="rnd">
            <a:solidFill>
              <a:schemeClr val="accent5"/>
            </a:solidFill>
            <a:round/>
          </a:ln>
          <a:effectLst/>
        </c:spPr>
        <c:marker>
          <c:symbol val="none"/>
        </c:marker>
      </c:pivotFmt>
    </c:pivotFmts>
    <c:plotArea>
      <c:layout/>
      <c:lineChart>
        <c:grouping val="standard"/>
        <c:varyColors val="0"/>
        <c:ser>
          <c:idx val="0"/>
          <c:order val="0"/>
          <c:tx>
            <c:strRef>
              <c:f>'Pivot Table'!$B$54:$B$55</c:f>
              <c:strCache>
                <c:ptCount val="1"/>
                <c:pt idx="0">
                  <c:v>No</c:v>
                </c:pt>
              </c:strCache>
            </c:strRef>
          </c:tx>
          <c:spPr>
            <a:ln w="28575" cap="rnd">
              <a:solidFill>
                <a:schemeClr val="accent6"/>
              </a:solidFill>
              <a:round/>
            </a:ln>
            <a:effectLst/>
          </c:spPr>
          <c:marker>
            <c:symbol val="none"/>
          </c:marker>
          <c:dLbls>
            <c:delete val="1"/>
          </c:dLbls>
          <c:cat>
            <c:strRef>
              <c:f>'Pivot Table'!$A$56:$A$61</c:f>
              <c:strCache>
                <c:ptCount val="5"/>
                <c:pt idx="0">
                  <c:v>0</c:v>
                </c:pt>
                <c:pt idx="1">
                  <c:v>1</c:v>
                </c:pt>
                <c:pt idx="2">
                  <c:v>2</c:v>
                </c:pt>
                <c:pt idx="3">
                  <c:v>3</c:v>
                </c:pt>
                <c:pt idx="4">
                  <c:v>4</c:v>
                </c:pt>
              </c:strCache>
            </c:strRef>
          </c:cat>
          <c:val>
            <c:numRef>
              <c:f>'Pivot Table'!$B$56:$B$61</c:f>
              <c:numCache>
                <c:formatCode>0%</c:formatCode>
                <c:ptCount val="5"/>
                <c:pt idx="0">
                  <c:v>0.39763779527559057</c:v>
                </c:pt>
                <c:pt idx="1">
                  <c:v>0.4259927797833935</c:v>
                </c:pt>
                <c:pt idx="2">
                  <c:v>0.62931034482758619</c:v>
                </c:pt>
                <c:pt idx="3">
                  <c:v>0.61627906976744184</c:v>
                </c:pt>
                <c:pt idx="4">
                  <c:v>0.65573770491803274</c:v>
                </c:pt>
              </c:numCache>
            </c:numRef>
          </c:val>
          <c:smooth val="0"/>
          <c:extLst>
            <c:ext xmlns:c16="http://schemas.microsoft.com/office/drawing/2014/chart" uri="{C3380CC4-5D6E-409C-BE32-E72D297353CC}">
              <c16:uniqueId val="{00000000-BE9D-44D4-8881-AEF40B6D1FAE}"/>
            </c:ext>
          </c:extLst>
        </c:ser>
        <c:ser>
          <c:idx val="1"/>
          <c:order val="1"/>
          <c:tx>
            <c:strRef>
              <c:f>'Pivot Table'!$C$54:$C$55</c:f>
              <c:strCache>
                <c:ptCount val="1"/>
                <c:pt idx="0">
                  <c:v>Yes</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Table'!$A$56:$A$61</c:f>
              <c:strCache>
                <c:ptCount val="5"/>
                <c:pt idx="0">
                  <c:v>0</c:v>
                </c:pt>
                <c:pt idx="1">
                  <c:v>1</c:v>
                </c:pt>
                <c:pt idx="2">
                  <c:v>2</c:v>
                </c:pt>
                <c:pt idx="3">
                  <c:v>3</c:v>
                </c:pt>
                <c:pt idx="4">
                  <c:v>4</c:v>
                </c:pt>
              </c:strCache>
            </c:strRef>
          </c:cat>
          <c:val>
            <c:numRef>
              <c:f>'Pivot Table'!$C$56:$C$61</c:f>
              <c:numCache>
                <c:formatCode>0%</c:formatCode>
                <c:ptCount val="5"/>
                <c:pt idx="0">
                  <c:v>0.60236220472440949</c:v>
                </c:pt>
                <c:pt idx="1">
                  <c:v>0.57400722021660655</c:v>
                </c:pt>
                <c:pt idx="2">
                  <c:v>0.37068965517241381</c:v>
                </c:pt>
                <c:pt idx="3">
                  <c:v>0.38372093023255816</c:v>
                </c:pt>
                <c:pt idx="4">
                  <c:v>0.34426229508196721</c:v>
                </c:pt>
              </c:numCache>
            </c:numRef>
          </c:val>
          <c:smooth val="0"/>
          <c:extLst>
            <c:ext xmlns:c16="http://schemas.microsoft.com/office/drawing/2014/chart" uri="{C3380CC4-5D6E-409C-BE32-E72D297353CC}">
              <c16:uniqueId val="{00000006-BE9D-44D4-8881-AEF40B6D1FAE}"/>
            </c:ext>
          </c:extLst>
        </c:ser>
        <c:dLbls>
          <c:dLblPos val="t"/>
          <c:showLegendKey val="0"/>
          <c:showVal val="1"/>
          <c:showCatName val="0"/>
          <c:showSerName val="0"/>
          <c:showPercent val="0"/>
          <c:showBubbleSize val="0"/>
        </c:dLbls>
        <c:smooth val="0"/>
        <c:axId val="768027663"/>
        <c:axId val="768019503"/>
      </c:lineChart>
      <c:catAx>
        <c:axId val="7680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19503"/>
        <c:crosses val="autoZero"/>
        <c:auto val="1"/>
        <c:lblAlgn val="ctr"/>
        <c:lblOffset val="100"/>
        <c:noMultiLvlLbl val="0"/>
      </c:catAx>
      <c:valAx>
        <c:axId val="768019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2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Bike Purchase Rate by Home Ownership</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barChart>
        <c:barDir val="col"/>
        <c:grouping val="clustered"/>
        <c:varyColors val="0"/>
        <c:ser>
          <c:idx val="0"/>
          <c:order val="0"/>
          <c:tx>
            <c:strRef>
              <c:f>'Pivot Table'!$B$72:$B$73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Table'!$A$74:$A$76</c:f>
              <c:strCache>
                <c:ptCount val="2"/>
                <c:pt idx="0">
                  <c:v>No</c:v>
                </c:pt>
                <c:pt idx="1">
                  <c:v>Yes</c:v>
                </c:pt>
              </c:strCache>
            </c:strRef>
          </c:cat>
          <c:val>
            <c:numRef>
              <c:f>'Pivot Table'!$B$74:$B$76</c:f>
              <c:numCache>
                <c:formatCode>0%</c:formatCode>
                <c:ptCount val="2"/>
                <c:pt idx="0">
                  <c:v>0.50455927051671734</c:v>
                </c:pt>
                <c:pt idx="1">
                  <c:v>0.52367288378766141</c:v>
                </c:pt>
              </c:numCache>
            </c:numRef>
          </c:val>
          <c:extLst>
            <c:ext xmlns:c16="http://schemas.microsoft.com/office/drawing/2014/chart" uri="{C3380CC4-5D6E-409C-BE32-E72D297353CC}">
              <c16:uniqueId val="{00000000-C229-4278-8DC5-3D06C17CFC7B}"/>
            </c:ext>
          </c:extLst>
        </c:ser>
        <c:ser>
          <c:idx val="1"/>
          <c:order val="1"/>
          <c:tx>
            <c:strRef>
              <c:f>'Pivot Table'!$C$72:$C$73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Table'!$A$74:$A$76</c:f>
              <c:strCache>
                <c:ptCount val="2"/>
                <c:pt idx="0">
                  <c:v>No</c:v>
                </c:pt>
                <c:pt idx="1">
                  <c:v>Yes</c:v>
                </c:pt>
              </c:strCache>
            </c:strRef>
          </c:cat>
          <c:val>
            <c:numRef>
              <c:f>'Pivot Table'!$C$74:$C$76</c:f>
              <c:numCache>
                <c:formatCode>0%</c:formatCode>
                <c:ptCount val="2"/>
                <c:pt idx="0">
                  <c:v>0.49544072948328266</c:v>
                </c:pt>
                <c:pt idx="1">
                  <c:v>0.47632711621233859</c:v>
                </c:pt>
              </c:numCache>
            </c:numRef>
          </c:val>
          <c:extLst>
            <c:ext xmlns:c16="http://schemas.microsoft.com/office/drawing/2014/chart" uri="{C3380CC4-5D6E-409C-BE32-E72D297353CC}">
              <c16:uniqueId val="{00000004-C229-4278-8DC5-3D06C17CFC7B}"/>
            </c:ext>
          </c:extLst>
        </c:ser>
        <c:dLbls>
          <c:showLegendKey val="0"/>
          <c:showVal val="1"/>
          <c:showCatName val="0"/>
          <c:showSerName val="0"/>
          <c:showPercent val="0"/>
          <c:showBubbleSize val="0"/>
        </c:dLbls>
        <c:gapWidth val="150"/>
        <c:axId val="981933775"/>
        <c:axId val="981948175"/>
      </c:barChart>
      <c:catAx>
        <c:axId val="98193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48175"/>
        <c:crosses val="autoZero"/>
        <c:auto val="1"/>
        <c:lblAlgn val="ctr"/>
        <c:lblOffset val="100"/>
        <c:noMultiLvlLbl val="0"/>
      </c:catAx>
      <c:valAx>
        <c:axId val="98194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3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Bike Purchase Rate by Occupation</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Table'!$B$90:$B$91</c:f>
              <c:strCache>
                <c:ptCount val="1"/>
                <c:pt idx="0">
                  <c:v>No</c:v>
                </c:pt>
              </c:strCache>
            </c:strRef>
          </c:tx>
          <c:spPr>
            <a:solidFill>
              <a:schemeClr val="accent1"/>
            </a:solidFill>
            <a:ln>
              <a:noFill/>
            </a:ln>
            <a:effectLst/>
          </c:spPr>
          <c:invertIfNegative val="0"/>
          <c:cat>
            <c:strRef>
              <c:f>'Pivot Table'!$A$92:$A$97</c:f>
              <c:strCache>
                <c:ptCount val="5"/>
                <c:pt idx="0">
                  <c:v>Clerical</c:v>
                </c:pt>
                <c:pt idx="1">
                  <c:v>Management</c:v>
                </c:pt>
                <c:pt idx="2">
                  <c:v>Manual</c:v>
                </c:pt>
                <c:pt idx="3">
                  <c:v>Professional</c:v>
                </c:pt>
                <c:pt idx="4">
                  <c:v>Skilled Manual</c:v>
                </c:pt>
              </c:strCache>
            </c:strRef>
          </c:cat>
          <c:val>
            <c:numRef>
              <c:f>'Pivot Table'!$B$92:$B$97</c:f>
              <c:numCache>
                <c:formatCode>0%</c:formatCode>
                <c:ptCount val="5"/>
                <c:pt idx="0">
                  <c:v>0.49197860962566847</c:v>
                </c:pt>
                <c:pt idx="1">
                  <c:v>0.58045977011494254</c:v>
                </c:pt>
                <c:pt idx="2">
                  <c:v>0.53174603174603174</c:v>
                </c:pt>
                <c:pt idx="3">
                  <c:v>0.4642857142857143</c:v>
                </c:pt>
                <c:pt idx="4">
                  <c:v>0.54440154440154442</c:v>
                </c:pt>
              </c:numCache>
            </c:numRef>
          </c:val>
          <c:extLst>
            <c:ext xmlns:c16="http://schemas.microsoft.com/office/drawing/2014/chart" uri="{C3380CC4-5D6E-409C-BE32-E72D297353CC}">
              <c16:uniqueId val="{00000000-2291-468D-9C46-EA58348EC1D5}"/>
            </c:ext>
          </c:extLst>
        </c:ser>
        <c:ser>
          <c:idx val="1"/>
          <c:order val="1"/>
          <c:tx>
            <c:strRef>
              <c:f>'Pivot Table'!$C$90:$C$91</c:f>
              <c:strCache>
                <c:ptCount val="1"/>
                <c:pt idx="0">
                  <c:v>Yes</c:v>
                </c:pt>
              </c:strCache>
            </c:strRef>
          </c:tx>
          <c:spPr>
            <a:solidFill>
              <a:schemeClr val="accent2"/>
            </a:solidFill>
            <a:ln>
              <a:noFill/>
            </a:ln>
            <a:effectLst/>
          </c:spPr>
          <c:invertIfNegative val="0"/>
          <c:cat>
            <c:strRef>
              <c:f>'Pivot Table'!$A$92:$A$97</c:f>
              <c:strCache>
                <c:ptCount val="5"/>
                <c:pt idx="0">
                  <c:v>Clerical</c:v>
                </c:pt>
                <c:pt idx="1">
                  <c:v>Management</c:v>
                </c:pt>
                <c:pt idx="2">
                  <c:v>Manual</c:v>
                </c:pt>
                <c:pt idx="3">
                  <c:v>Professional</c:v>
                </c:pt>
                <c:pt idx="4">
                  <c:v>Skilled Manual</c:v>
                </c:pt>
              </c:strCache>
            </c:strRef>
          </c:cat>
          <c:val>
            <c:numRef>
              <c:f>'Pivot Table'!$C$92:$C$97</c:f>
              <c:numCache>
                <c:formatCode>0%</c:formatCode>
                <c:ptCount val="5"/>
                <c:pt idx="0">
                  <c:v>0.50802139037433158</c:v>
                </c:pt>
                <c:pt idx="1">
                  <c:v>0.41954022988505746</c:v>
                </c:pt>
                <c:pt idx="2">
                  <c:v>0.46825396825396826</c:v>
                </c:pt>
                <c:pt idx="3">
                  <c:v>0.5357142857142857</c:v>
                </c:pt>
                <c:pt idx="4">
                  <c:v>0.45559845559845558</c:v>
                </c:pt>
              </c:numCache>
            </c:numRef>
          </c:val>
          <c:extLst>
            <c:ext xmlns:c16="http://schemas.microsoft.com/office/drawing/2014/chart" uri="{C3380CC4-5D6E-409C-BE32-E72D297353CC}">
              <c16:uniqueId val="{00000003-2291-468D-9C46-EA58348EC1D5}"/>
            </c:ext>
          </c:extLst>
        </c:ser>
        <c:dLbls>
          <c:showLegendKey val="0"/>
          <c:showVal val="0"/>
          <c:showCatName val="0"/>
          <c:showSerName val="0"/>
          <c:showPercent val="0"/>
          <c:showBubbleSize val="0"/>
        </c:dLbls>
        <c:gapWidth val="150"/>
        <c:axId val="981982735"/>
        <c:axId val="981968335"/>
      </c:barChart>
      <c:catAx>
        <c:axId val="98198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68335"/>
        <c:crosses val="autoZero"/>
        <c:auto val="1"/>
        <c:lblAlgn val="ctr"/>
        <c:lblOffset val="100"/>
        <c:noMultiLvlLbl val="0"/>
      </c:catAx>
      <c:valAx>
        <c:axId val="9819683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8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[bike sales excel project.xlsx]Pivot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200"/>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6">
                <a:shade val="76000"/>
              </a:schemeClr>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59BA-406C-BABA-FF0A4F470036}"/>
            </c:ext>
          </c:extLst>
        </c:ser>
        <c:ser>
          <c:idx val="1"/>
          <c:order val="1"/>
          <c:tx>
            <c:strRef>
              <c:f>'Pivot Table'!$C$3:$C$4</c:f>
              <c:strCache>
                <c:ptCount val="1"/>
                <c:pt idx="0">
                  <c:v>Yes</c:v>
                </c:pt>
              </c:strCache>
            </c:strRef>
          </c:tx>
          <c:spPr>
            <a:solidFill>
              <a:schemeClr val="accent6">
                <a:tint val="77000"/>
              </a:schemeClr>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59BA-406C-BABA-FF0A4F470036}"/>
            </c:ext>
          </c:extLst>
        </c:ser>
        <c:dLbls>
          <c:showLegendKey val="0"/>
          <c:showVal val="0"/>
          <c:showCatName val="0"/>
          <c:showSerName val="0"/>
          <c:showPercent val="0"/>
          <c:showBubbleSize val="0"/>
        </c:dLbls>
        <c:gapWidth val="219"/>
        <c:overlap val="-27"/>
        <c:axId val="1563020927"/>
        <c:axId val="1563025247"/>
      </c:barChart>
      <c:catAx>
        <c:axId val="156302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25247"/>
        <c:crosses val="autoZero"/>
        <c:auto val="1"/>
        <c:lblAlgn val="ctr"/>
        <c:lblOffset val="100"/>
        <c:noMultiLvlLbl val="0"/>
      </c:catAx>
      <c:valAx>
        <c:axId val="156302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20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[bike sales excel project.xlsx]Pivot Table!PivotTable2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200" b="0" i="0" u="none" strike="noStrike" baseline="0"/>
              <a:t>Bike Purchase Rate by Commute Distance</a:t>
            </a:r>
            <a:endParaRPr lang="en-ZA" sz="1200"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Table'!$B$19:$B$20</c:f>
              <c:strCache>
                <c:ptCount val="1"/>
                <c:pt idx="0">
                  <c:v>No</c:v>
                </c:pt>
              </c:strCache>
            </c:strRef>
          </c:tx>
          <c:spPr>
            <a:solidFill>
              <a:schemeClr val="accent6">
                <a:shade val="76000"/>
              </a:schemeClr>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0%</c:formatCode>
                <c:ptCount val="5"/>
                <c:pt idx="0">
                  <c:v>0.45355191256830601</c:v>
                </c:pt>
                <c:pt idx="1">
                  <c:v>0.54437869822485208</c:v>
                </c:pt>
                <c:pt idx="2">
                  <c:v>0.41358024691358025</c:v>
                </c:pt>
                <c:pt idx="3">
                  <c:v>0.60416666666666663</c:v>
                </c:pt>
                <c:pt idx="4">
                  <c:v>0.70270270270270274</c:v>
                </c:pt>
              </c:numCache>
            </c:numRef>
          </c:val>
          <c:extLst>
            <c:ext xmlns:c16="http://schemas.microsoft.com/office/drawing/2014/chart" uri="{C3380CC4-5D6E-409C-BE32-E72D297353CC}">
              <c16:uniqueId val="{00000000-6A76-47C9-B046-7CE25A4C46FF}"/>
            </c:ext>
          </c:extLst>
        </c:ser>
        <c:ser>
          <c:idx val="1"/>
          <c:order val="1"/>
          <c:tx>
            <c:strRef>
              <c:f>'Pivot Table'!$C$19:$C$20</c:f>
              <c:strCache>
                <c:ptCount val="1"/>
                <c:pt idx="0">
                  <c:v>Yes</c:v>
                </c:pt>
              </c:strCache>
            </c:strRef>
          </c:tx>
          <c:spPr>
            <a:solidFill>
              <a:schemeClr val="accent6">
                <a:tint val="77000"/>
              </a:schemeClr>
            </a:solidFill>
            <a:ln>
              <a:noFill/>
            </a:ln>
            <a:effectLst/>
          </c:spPr>
          <c:invertIfNegative val="0"/>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1-6A76-47C9-B046-7CE25A4C46FF}"/>
            </c:ext>
          </c:extLst>
        </c:ser>
        <c:dLbls>
          <c:showLegendKey val="0"/>
          <c:showVal val="0"/>
          <c:showCatName val="0"/>
          <c:showSerName val="0"/>
          <c:showPercent val="0"/>
          <c:showBubbleSize val="0"/>
        </c:dLbls>
        <c:gapWidth val="150"/>
        <c:axId val="1563057887"/>
        <c:axId val="1563051647"/>
      </c:barChart>
      <c:catAx>
        <c:axId val="156305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51647"/>
        <c:crosses val="autoZero"/>
        <c:auto val="1"/>
        <c:lblAlgn val="ctr"/>
        <c:lblOffset val="100"/>
        <c:noMultiLvlLbl val="0"/>
      </c:catAx>
      <c:valAx>
        <c:axId val="1563051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05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[bike sales 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200" b="0" i="0" u="none" strike="noStrike" baseline="0"/>
              <a:t>Bike Purchase Rate by Age Group</a:t>
            </a:r>
            <a:endParaRPr lang="en-ZA"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Table'!$B$36:$B$37</c:f>
              <c:strCache>
                <c:ptCount val="1"/>
                <c:pt idx="0">
                  <c:v>No</c:v>
                </c:pt>
              </c:strCache>
            </c:strRef>
          </c:tx>
          <c:spPr>
            <a:solidFill>
              <a:schemeClr val="accent6">
                <a:shade val="76000"/>
              </a:schemeClr>
            </a:solidFill>
            <a:ln>
              <a:noFill/>
            </a:ln>
            <a:effectLst/>
          </c:spPr>
          <c:invertIfNegative val="0"/>
          <c:cat>
            <c:strRef>
              <c:f>'Pivot Table'!$A$38:$A$41</c:f>
              <c:strCache>
                <c:ptCount val="3"/>
                <c:pt idx="0">
                  <c:v>Adolescnt</c:v>
                </c:pt>
                <c:pt idx="1">
                  <c:v>Middle Stage</c:v>
                </c:pt>
                <c:pt idx="2">
                  <c:v>Old</c:v>
                </c:pt>
              </c:strCache>
            </c:strRef>
          </c:cat>
          <c:val>
            <c:numRef>
              <c:f>'Pivot Table'!$B$38:$B$41</c:f>
              <c:numCache>
                <c:formatCode>General</c:formatCode>
                <c:ptCount val="3"/>
                <c:pt idx="0">
                  <c:v>71</c:v>
                </c:pt>
                <c:pt idx="1">
                  <c:v>318</c:v>
                </c:pt>
                <c:pt idx="2">
                  <c:v>130</c:v>
                </c:pt>
              </c:numCache>
            </c:numRef>
          </c:val>
          <c:extLst>
            <c:ext xmlns:c16="http://schemas.microsoft.com/office/drawing/2014/chart" uri="{C3380CC4-5D6E-409C-BE32-E72D297353CC}">
              <c16:uniqueId val="{00000000-7F5C-4CF9-AE8F-A7ADB6F022EE}"/>
            </c:ext>
          </c:extLst>
        </c:ser>
        <c:ser>
          <c:idx val="1"/>
          <c:order val="1"/>
          <c:tx>
            <c:strRef>
              <c:f>'Pivot Table'!$C$36:$C$37</c:f>
              <c:strCache>
                <c:ptCount val="1"/>
                <c:pt idx="0">
                  <c:v>Yes</c:v>
                </c:pt>
              </c:strCache>
            </c:strRef>
          </c:tx>
          <c:spPr>
            <a:solidFill>
              <a:schemeClr val="accent6">
                <a:tint val="77000"/>
              </a:schemeClr>
            </a:solidFill>
            <a:ln>
              <a:noFill/>
            </a:ln>
            <a:effectLst/>
          </c:spPr>
          <c:invertIfNegative val="0"/>
          <c:cat>
            <c:strRef>
              <c:f>'Pivot Table'!$A$38:$A$41</c:f>
              <c:strCache>
                <c:ptCount val="3"/>
                <c:pt idx="0">
                  <c:v>Adolescnt</c:v>
                </c:pt>
                <c:pt idx="1">
                  <c:v>Middle Stage</c:v>
                </c:pt>
                <c:pt idx="2">
                  <c:v>Old</c:v>
                </c:pt>
              </c:strCache>
            </c:strRef>
          </c:cat>
          <c:val>
            <c:numRef>
              <c:f>'Pivot Table'!$C$38:$C$41</c:f>
              <c:numCache>
                <c:formatCode>General</c:formatCode>
                <c:ptCount val="3"/>
                <c:pt idx="0">
                  <c:v>39</c:v>
                </c:pt>
                <c:pt idx="1">
                  <c:v>383</c:v>
                </c:pt>
                <c:pt idx="2">
                  <c:v>59</c:v>
                </c:pt>
              </c:numCache>
            </c:numRef>
          </c:val>
          <c:extLst>
            <c:ext xmlns:c16="http://schemas.microsoft.com/office/drawing/2014/chart" uri="{C3380CC4-5D6E-409C-BE32-E72D297353CC}">
              <c16:uniqueId val="{00000001-7F5C-4CF9-AE8F-A7ADB6F022EE}"/>
            </c:ext>
          </c:extLst>
        </c:ser>
        <c:dLbls>
          <c:showLegendKey val="0"/>
          <c:showVal val="0"/>
          <c:showCatName val="0"/>
          <c:showSerName val="0"/>
          <c:showPercent val="0"/>
          <c:showBubbleSize val="0"/>
        </c:dLbls>
        <c:gapWidth val="150"/>
        <c:axId val="1103302975"/>
        <c:axId val="1103302495"/>
      </c:barChart>
      <c:catAx>
        <c:axId val="1103302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02495"/>
        <c:crosses val="autoZero"/>
        <c:auto val="1"/>
        <c:lblAlgn val="ctr"/>
        <c:lblOffset val="100"/>
        <c:noMultiLvlLbl val="0"/>
      </c:catAx>
      <c:valAx>
        <c:axId val="110330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30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[bike sales excel project.xlsx]Pivot Table!PivotTable5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Bike Purchase Rate by Home Ownership</a:t>
            </a:r>
            <a:endParaRPr lang="en-ZA"/>
          </a:p>
        </c:rich>
      </c:tx>
      <c:layout>
        <c:manualLayout>
          <c:xMode val="edge"/>
          <c:yMode val="edge"/>
          <c:x val="0.15503625341405272"/>
          <c:y val="9.93466861944345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Table'!$B$72:$B$73</c:f>
              <c:strCache>
                <c:ptCount val="1"/>
                <c:pt idx="0">
                  <c:v>No</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Table'!$A$74:$A$76</c:f>
              <c:strCache>
                <c:ptCount val="2"/>
                <c:pt idx="0">
                  <c:v>No</c:v>
                </c:pt>
                <c:pt idx="1">
                  <c:v>Yes</c:v>
                </c:pt>
              </c:strCache>
            </c:strRef>
          </c:cat>
          <c:val>
            <c:numRef>
              <c:f>'Pivot Table'!$B$74:$B$76</c:f>
              <c:numCache>
                <c:formatCode>0%</c:formatCode>
                <c:ptCount val="2"/>
                <c:pt idx="0">
                  <c:v>0.50455927051671734</c:v>
                </c:pt>
                <c:pt idx="1">
                  <c:v>0.52367288378766141</c:v>
                </c:pt>
              </c:numCache>
            </c:numRef>
          </c:val>
          <c:extLst>
            <c:ext xmlns:c16="http://schemas.microsoft.com/office/drawing/2014/chart" uri="{C3380CC4-5D6E-409C-BE32-E72D297353CC}">
              <c16:uniqueId val="{00000000-A91A-419D-8EF1-A4C9E6D26A3E}"/>
            </c:ext>
          </c:extLst>
        </c:ser>
        <c:ser>
          <c:idx val="1"/>
          <c:order val="1"/>
          <c:tx>
            <c:strRef>
              <c:f>'Pivot Table'!$C$72:$C$73</c:f>
              <c:strCache>
                <c:ptCount val="1"/>
                <c:pt idx="0">
                  <c:v>Yes</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Table'!$A$74:$A$76</c:f>
              <c:strCache>
                <c:ptCount val="2"/>
                <c:pt idx="0">
                  <c:v>No</c:v>
                </c:pt>
                <c:pt idx="1">
                  <c:v>Yes</c:v>
                </c:pt>
              </c:strCache>
            </c:strRef>
          </c:cat>
          <c:val>
            <c:numRef>
              <c:f>'Pivot Table'!$C$74:$C$76</c:f>
              <c:numCache>
                <c:formatCode>0%</c:formatCode>
                <c:ptCount val="2"/>
                <c:pt idx="0">
                  <c:v>0.49544072948328266</c:v>
                </c:pt>
                <c:pt idx="1">
                  <c:v>0.47632711621233859</c:v>
                </c:pt>
              </c:numCache>
            </c:numRef>
          </c:val>
          <c:extLst>
            <c:ext xmlns:c16="http://schemas.microsoft.com/office/drawing/2014/chart" uri="{C3380CC4-5D6E-409C-BE32-E72D297353CC}">
              <c16:uniqueId val="{00000001-A91A-419D-8EF1-A4C9E6D26A3E}"/>
            </c:ext>
          </c:extLst>
        </c:ser>
        <c:dLbls>
          <c:showLegendKey val="0"/>
          <c:showVal val="1"/>
          <c:showCatName val="0"/>
          <c:showSerName val="0"/>
          <c:showPercent val="0"/>
          <c:showBubbleSize val="0"/>
        </c:dLbls>
        <c:gapWidth val="150"/>
        <c:axId val="981933775"/>
        <c:axId val="981948175"/>
      </c:barChart>
      <c:catAx>
        <c:axId val="98193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48175"/>
        <c:crosses val="autoZero"/>
        <c:auto val="1"/>
        <c:lblAlgn val="ctr"/>
        <c:lblOffset val="100"/>
        <c:noMultiLvlLbl val="0"/>
      </c:catAx>
      <c:valAx>
        <c:axId val="981948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3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[bike sales excel project.xlsx]Pivot 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200" b="0" i="0" u="none" strike="noStrike" baseline="0"/>
              <a:t>Bike Purchase Rate by Occupation</a:t>
            </a:r>
            <a:endParaRPr lang="en-ZA"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Table'!$B$90:$B$91</c:f>
              <c:strCache>
                <c:ptCount val="1"/>
                <c:pt idx="0">
                  <c:v>No</c:v>
                </c:pt>
              </c:strCache>
            </c:strRef>
          </c:tx>
          <c:spPr>
            <a:solidFill>
              <a:schemeClr val="accent6">
                <a:shade val="76000"/>
              </a:schemeClr>
            </a:solidFill>
            <a:ln>
              <a:noFill/>
            </a:ln>
            <a:effectLst/>
          </c:spPr>
          <c:invertIfNegative val="0"/>
          <c:cat>
            <c:strRef>
              <c:f>'Pivot Table'!$A$92:$A$97</c:f>
              <c:strCache>
                <c:ptCount val="5"/>
                <c:pt idx="0">
                  <c:v>Clerical</c:v>
                </c:pt>
                <c:pt idx="1">
                  <c:v>Management</c:v>
                </c:pt>
                <c:pt idx="2">
                  <c:v>Manual</c:v>
                </c:pt>
                <c:pt idx="3">
                  <c:v>Professional</c:v>
                </c:pt>
                <c:pt idx="4">
                  <c:v>Skilled Manual</c:v>
                </c:pt>
              </c:strCache>
            </c:strRef>
          </c:cat>
          <c:val>
            <c:numRef>
              <c:f>'Pivot Table'!$B$92:$B$97</c:f>
              <c:numCache>
                <c:formatCode>0%</c:formatCode>
                <c:ptCount val="5"/>
                <c:pt idx="0">
                  <c:v>0.49197860962566847</c:v>
                </c:pt>
                <c:pt idx="1">
                  <c:v>0.58045977011494254</c:v>
                </c:pt>
                <c:pt idx="2">
                  <c:v>0.53174603174603174</c:v>
                </c:pt>
                <c:pt idx="3">
                  <c:v>0.4642857142857143</c:v>
                </c:pt>
                <c:pt idx="4">
                  <c:v>0.54440154440154442</c:v>
                </c:pt>
              </c:numCache>
            </c:numRef>
          </c:val>
          <c:extLst>
            <c:ext xmlns:c16="http://schemas.microsoft.com/office/drawing/2014/chart" uri="{C3380CC4-5D6E-409C-BE32-E72D297353CC}">
              <c16:uniqueId val="{00000000-1FF0-4840-9196-395CFFB80337}"/>
            </c:ext>
          </c:extLst>
        </c:ser>
        <c:ser>
          <c:idx val="1"/>
          <c:order val="1"/>
          <c:tx>
            <c:strRef>
              <c:f>'Pivot Table'!$C$90:$C$91</c:f>
              <c:strCache>
                <c:ptCount val="1"/>
                <c:pt idx="0">
                  <c:v>Yes</c:v>
                </c:pt>
              </c:strCache>
            </c:strRef>
          </c:tx>
          <c:spPr>
            <a:solidFill>
              <a:schemeClr val="accent6">
                <a:tint val="77000"/>
              </a:schemeClr>
            </a:solidFill>
            <a:ln>
              <a:noFill/>
            </a:ln>
            <a:effectLst/>
          </c:spPr>
          <c:invertIfNegative val="0"/>
          <c:cat>
            <c:strRef>
              <c:f>'Pivot Table'!$A$92:$A$97</c:f>
              <c:strCache>
                <c:ptCount val="5"/>
                <c:pt idx="0">
                  <c:v>Clerical</c:v>
                </c:pt>
                <c:pt idx="1">
                  <c:v>Management</c:v>
                </c:pt>
                <c:pt idx="2">
                  <c:v>Manual</c:v>
                </c:pt>
                <c:pt idx="3">
                  <c:v>Professional</c:v>
                </c:pt>
                <c:pt idx="4">
                  <c:v>Skilled Manual</c:v>
                </c:pt>
              </c:strCache>
            </c:strRef>
          </c:cat>
          <c:val>
            <c:numRef>
              <c:f>'Pivot Table'!$C$92:$C$97</c:f>
              <c:numCache>
                <c:formatCode>0%</c:formatCode>
                <c:ptCount val="5"/>
                <c:pt idx="0">
                  <c:v>0.50802139037433158</c:v>
                </c:pt>
                <c:pt idx="1">
                  <c:v>0.41954022988505746</c:v>
                </c:pt>
                <c:pt idx="2">
                  <c:v>0.46825396825396826</c:v>
                </c:pt>
                <c:pt idx="3">
                  <c:v>0.5357142857142857</c:v>
                </c:pt>
                <c:pt idx="4">
                  <c:v>0.45559845559845558</c:v>
                </c:pt>
              </c:numCache>
            </c:numRef>
          </c:val>
          <c:extLst>
            <c:ext xmlns:c16="http://schemas.microsoft.com/office/drawing/2014/chart" uri="{C3380CC4-5D6E-409C-BE32-E72D297353CC}">
              <c16:uniqueId val="{00000001-1FF0-4840-9196-395CFFB80337}"/>
            </c:ext>
          </c:extLst>
        </c:ser>
        <c:dLbls>
          <c:showLegendKey val="0"/>
          <c:showVal val="0"/>
          <c:showCatName val="0"/>
          <c:showSerName val="0"/>
          <c:showPercent val="0"/>
          <c:showBubbleSize val="0"/>
        </c:dLbls>
        <c:gapWidth val="150"/>
        <c:axId val="981982735"/>
        <c:axId val="981968335"/>
      </c:barChart>
      <c:catAx>
        <c:axId val="98198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68335"/>
        <c:crosses val="autoZero"/>
        <c:auto val="1"/>
        <c:lblAlgn val="ctr"/>
        <c:lblOffset val="100"/>
        <c:noMultiLvlLbl val="0"/>
      </c:catAx>
      <c:valAx>
        <c:axId val="9819683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98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[bike sales excel project.xlsx]Pivot Table!PivotTable4</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200" b="0" i="0" u="none" strike="noStrike" baseline="0"/>
              <a:t>Bike Purchase Rate by Number of Cars</a:t>
            </a:r>
            <a:endParaRPr lang="en-ZA"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1"/>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9"/>
        <c:spPr>
          <a:solidFill>
            <a:schemeClr val="accent6">
              <a:shade val="7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hade val="7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6">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6">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6">
              <a:tint val="7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barChart>
        <c:barDir val="col"/>
        <c:grouping val="clustered"/>
        <c:varyColors val="0"/>
        <c:ser>
          <c:idx val="0"/>
          <c:order val="0"/>
          <c:tx>
            <c:strRef>
              <c:f>'Pivot Table'!$B$54:$B$55</c:f>
              <c:strCache>
                <c:ptCount val="1"/>
                <c:pt idx="0">
                  <c:v>No</c:v>
                </c:pt>
              </c:strCache>
            </c:strRef>
          </c:tx>
          <c:spPr>
            <a:solidFill>
              <a:schemeClr val="accent6">
                <a:shade val="76000"/>
              </a:schemeClr>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2-7E4E-44F9-B1F4-D5497093D49D}"/>
                </c:ext>
              </c:extLst>
            </c:dLbl>
            <c:dLbl>
              <c:idx val="3"/>
              <c:delete val="1"/>
              <c:extLst>
                <c:ext xmlns:c15="http://schemas.microsoft.com/office/drawing/2012/chart" uri="{CE6537A1-D6FC-4f65-9D91-7224C49458BB}"/>
                <c:ext xmlns:c16="http://schemas.microsoft.com/office/drawing/2014/chart" uri="{C3380CC4-5D6E-409C-BE32-E72D297353CC}">
                  <c16:uniqueId val="{00000003-7E4E-44F9-B1F4-D5497093D4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Table'!$A$56:$A$61</c:f>
              <c:strCache>
                <c:ptCount val="5"/>
                <c:pt idx="0">
                  <c:v>0</c:v>
                </c:pt>
                <c:pt idx="1">
                  <c:v>1</c:v>
                </c:pt>
                <c:pt idx="2">
                  <c:v>2</c:v>
                </c:pt>
                <c:pt idx="3">
                  <c:v>3</c:v>
                </c:pt>
                <c:pt idx="4">
                  <c:v>4</c:v>
                </c:pt>
              </c:strCache>
            </c:strRef>
          </c:cat>
          <c:val>
            <c:numRef>
              <c:f>'Pivot Table'!$B$56:$B$61</c:f>
              <c:numCache>
                <c:formatCode>0%</c:formatCode>
                <c:ptCount val="5"/>
                <c:pt idx="0">
                  <c:v>0.39763779527559057</c:v>
                </c:pt>
                <c:pt idx="1">
                  <c:v>0.4259927797833935</c:v>
                </c:pt>
                <c:pt idx="2">
                  <c:v>0.62931034482758619</c:v>
                </c:pt>
                <c:pt idx="3">
                  <c:v>0.61627906976744184</c:v>
                </c:pt>
                <c:pt idx="4">
                  <c:v>0.65573770491803274</c:v>
                </c:pt>
              </c:numCache>
            </c:numRef>
          </c:val>
          <c:extLst>
            <c:ext xmlns:c16="http://schemas.microsoft.com/office/drawing/2014/chart" uri="{C3380CC4-5D6E-409C-BE32-E72D297353CC}">
              <c16:uniqueId val="{00000000-7E4E-44F9-B1F4-D5497093D49D}"/>
            </c:ext>
          </c:extLst>
        </c:ser>
        <c:ser>
          <c:idx val="1"/>
          <c:order val="1"/>
          <c:tx>
            <c:strRef>
              <c:f>'Pivot Table'!$C$54:$C$55</c:f>
              <c:strCache>
                <c:ptCount val="1"/>
                <c:pt idx="0">
                  <c:v>Yes</c:v>
                </c:pt>
              </c:strCache>
            </c:strRef>
          </c:tx>
          <c:spPr>
            <a:solidFill>
              <a:schemeClr val="accent6">
                <a:tint val="77000"/>
              </a:schemeClr>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'Pivot Table'!$A$56:$A$61</c:f>
              <c:strCache>
                <c:ptCount val="5"/>
                <c:pt idx="0">
                  <c:v>0</c:v>
                </c:pt>
                <c:pt idx="1">
                  <c:v>1</c:v>
                </c:pt>
                <c:pt idx="2">
                  <c:v>2</c:v>
                </c:pt>
                <c:pt idx="3">
                  <c:v>3</c:v>
                </c:pt>
                <c:pt idx="4">
                  <c:v>4</c:v>
                </c:pt>
              </c:strCache>
            </c:strRef>
          </c:cat>
          <c:val>
            <c:numRef>
              <c:f>'Pivot Table'!$C$56:$C$61</c:f>
              <c:numCache>
                <c:formatCode>0%</c:formatCode>
                <c:ptCount val="5"/>
                <c:pt idx="0">
                  <c:v>0.60236220472440949</c:v>
                </c:pt>
                <c:pt idx="1">
                  <c:v>0.57400722021660655</c:v>
                </c:pt>
                <c:pt idx="2">
                  <c:v>0.37068965517241381</c:v>
                </c:pt>
                <c:pt idx="3">
                  <c:v>0.38372093023255816</c:v>
                </c:pt>
                <c:pt idx="4">
                  <c:v>0.34426229508196721</c:v>
                </c:pt>
              </c:numCache>
            </c:numRef>
          </c:val>
          <c:extLst>
            <c:ext xmlns:c16="http://schemas.microsoft.com/office/drawing/2014/chart" uri="{C3380CC4-5D6E-409C-BE32-E72D297353CC}">
              <c16:uniqueId val="{00000001-7E4E-44F9-B1F4-D5497093D49D}"/>
            </c:ext>
          </c:extLst>
        </c:ser>
        <c:dLbls>
          <c:showLegendKey val="0"/>
          <c:showVal val="1"/>
          <c:showCatName val="0"/>
          <c:showSerName val="0"/>
          <c:showPercent val="0"/>
          <c:showBubbleSize val="0"/>
        </c:dLbls>
        <c:gapWidth val="150"/>
        <c:axId val="768027663"/>
        <c:axId val="768019503"/>
      </c:barChart>
      <c:catAx>
        <c:axId val="7680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19503"/>
        <c:crosses val="autoZero"/>
        <c:auto val="1"/>
        <c:lblAlgn val="ctr"/>
        <c:lblOffset val="100"/>
        <c:noMultiLvlLbl val="0"/>
      </c:catAx>
      <c:valAx>
        <c:axId val="768019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2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396240</xdr:colOff>
      <xdr:row>0</xdr:row>
      <xdr:rowOff>140970</xdr:rowOff>
    </xdr:from>
    <xdr:to>
      <xdr:col>13</xdr:col>
      <xdr:colOff>91440</xdr:colOff>
      <xdr:row>15</xdr:row>
      <xdr:rowOff>140970</xdr:rowOff>
    </xdr:to>
    <xdr:graphicFrame macro="">
      <xdr:nvGraphicFramePr>
        <xdr:cNvPr id="2" name="Chart 1">
          <a:extLst>
            <a:ext uri="{FF2B5EF4-FFF2-40B4-BE49-F238E27FC236}">
              <a16:creationId xmlns:a16="http://schemas.microsoft.com/office/drawing/2014/main" id="{0723B492-21E1-DB66-B31F-F244D2C7D9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548640</xdr:colOff>
      <xdr:row>17</xdr:row>
      <xdr:rowOff>163830</xdr:rowOff>
    </xdr:from>
    <xdr:to>
      <xdr:col>12</xdr:col>
      <xdr:colOff>243840</xdr:colOff>
      <xdr:row>32</xdr:row>
      <xdr:rowOff>163830</xdr:rowOff>
    </xdr:to>
    <xdr:graphicFrame macro="">
      <xdr:nvGraphicFramePr>
        <xdr:cNvPr id="3" name="Chart 2">
          <a:extLst>
            <a:ext uri="{FF2B5EF4-FFF2-40B4-BE49-F238E27FC236}">
              <a16:creationId xmlns:a16="http://schemas.microsoft.com/office/drawing/2014/main" id="{3562011B-3A2D-8A05-7109-5FBF6D545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281940</xdr:colOff>
      <xdr:row>34</xdr:row>
      <xdr:rowOff>140970</xdr:rowOff>
    </xdr:from>
    <xdr:to>
      <xdr:col>11</xdr:col>
      <xdr:colOff>586740</xdr:colOff>
      <xdr:row>50</xdr:row>
      <xdr:rowOff>175260</xdr:rowOff>
    </xdr:to>
    <xdr:graphicFrame macro="">
      <xdr:nvGraphicFramePr>
        <xdr:cNvPr id="4" name="Chart 3">
          <a:extLst>
            <a:ext uri="{FF2B5EF4-FFF2-40B4-BE49-F238E27FC236}">
              <a16:creationId xmlns:a16="http://schemas.microsoft.com/office/drawing/2014/main" id="{50D8AE29-42E7-22CC-4127-1C051527B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53340</xdr:colOff>
      <xdr:row>53</xdr:row>
      <xdr:rowOff>19050</xdr:rowOff>
    </xdr:from>
    <xdr:to>
      <xdr:col>13</xdr:col>
      <xdr:colOff>342900</xdr:colOff>
      <xdr:row>68</xdr:row>
      <xdr:rowOff>19050</xdr:rowOff>
    </xdr:to>
    <xdr:graphicFrame macro="">
      <xdr:nvGraphicFramePr>
        <xdr:cNvPr id="5" name="Chart 4">
          <a:extLst>
            <a:ext uri="{FF2B5EF4-FFF2-40B4-BE49-F238E27FC236}">
              <a16:creationId xmlns:a16="http://schemas.microsoft.com/office/drawing/2014/main" id="{8A27F7C4-E74F-1AEB-BB9A-7F7526105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68580</xdr:colOff>
      <xdr:row>70</xdr:row>
      <xdr:rowOff>179070</xdr:rowOff>
    </xdr:from>
    <xdr:to>
      <xdr:col>13</xdr:col>
      <xdr:colOff>243840</xdr:colOff>
      <xdr:row>85</xdr:row>
      <xdr:rowOff>179070</xdr:rowOff>
    </xdr:to>
    <xdr:graphicFrame macro="">
      <xdr:nvGraphicFramePr>
        <xdr:cNvPr id="7" name="Chart 6">
          <a:extLst>
            <a:ext uri="{FF2B5EF4-FFF2-40B4-BE49-F238E27FC236}">
              <a16:creationId xmlns:a16="http://schemas.microsoft.com/office/drawing/2014/main" id="{06CDEDEA-EDD5-1254-8331-9C4A7E794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xdr:colOff>
      <xdr:row>88</xdr:row>
      <xdr:rowOff>148590</xdr:rowOff>
    </xdr:from>
    <xdr:to>
      <xdr:col>13</xdr:col>
      <xdr:colOff>213360</xdr:colOff>
      <xdr:row>103</xdr:row>
      <xdr:rowOff>148590</xdr:rowOff>
    </xdr:to>
    <xdr:graphicFrame macro="">
      <xdr:nvGraphicFramePr>
        <xdr:cNvPr id="9" name="Chart 8">
          <a:extLst>
            <a:ext uri="{FF2B5EF4-FFF2-40B4-BE49-F238E27FC236}">
              <a16:creationId xmlns:a16="http://schemas.microsoft.com/office/drawing/2014/main" id="{D69377E8-6AC7-A754-F979-AE77C47CD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158907</xdr:colOff>
      <xdr:row>3</xdr:row>
      <xdr:rowOff>88614</xdr:rowOff>
    </xdr:from>
    <xdr:to>
      <xdr:col>4</xdr:col>
      <xdr:colOff>59131</xdr:colOff>
      <xdr:row>6</xdr:row>
      <xdr:rowOff>88614</xdr:rowOff>
    </xdr:to>
    <xdr:sp macro="" textlink="">
      <xdr:nvSpPr>
        <xdr:cNvPr id="31" name="Rectangle: Rounded Corners 30">
          <a:extLst>
            <a:ext uri="{FF2B5EF4-FFF2-40B4-BE49-F238E27FC236}">
              <a16:creationId xmlns:a16="http://schemas.microsoft.com/office/drawing/2014/main" id="{909E7B27-038C-4B9A-A7EC-80C2E0333E1D}"/>
            </a:ext>
          </a:extLst>
        </xdr:cNvPr>
        <xdr:cNvSpPr/>
      </xdr:nvSpPr>
      <xdr:spPr>
        <a:xfrm>
          <a:off x="1374682" y="628007"/>
          <a:ext cx="1116000" cy="5393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45720</xdr:colOff>
      <xdr:row>6</xdr:row>
      <xdr:rowOff>160260</xdr:rowOff>
    </xdr:from>
    <xdr:to>
      <xdr:col>7</xdr:col>
      <xdr:colOff>601980</xdr:colOff>
      <xdr:row>20</xdr:row>
      <xdr:rowOff>14995</xdr:rowOff>
    </xdr:to>
    <xdr:graphicFrame macro="">
      <xdr:nvGraphicFramePr>
        <xdr:cNvPr id="3" name="Chart 2">
          <a:extLst>
            <a:ext uri="{FF2B5EF4-FFF2-40B4-BE49-F238E27FC236}">
              <a16:creationId xmlns:a16="http://schemas.microsoft.com/office/drawing/2014/main" id="{5C06585A-9220-4D20-B03C-0313EEF72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518161</xdr:colOff>
      <xdr:row>20</xdr:row>
      <xdr:rowOff>61233</xdr:rowOff>
    </xdr:from>
    <xdr:to>
      <xdr:col>8</xdr:col>
      <xdr:colOff>574964</xdr:colOff>
      <xdr:row>33</xdr:row>
      <xdr:rowOff>131144</xdr:rowOff>
    </xdr:to>
    <xdr:graphicFrame macro="">
      <xdr:nvGraphicFramePr>
        <xdr:cNvPr id="4" name="Chart 3">
          <a:extLst>
            <a:ext uri="{FF2B5EF4-FFF2-40B4-BE49-F238E27FC236}">
              <a16:creationId xmlns:a16="http://schemas.microsoft.com/office/drawing/2014/main" id="{EEBC6C91-AD90-4F08-8D69-9E4D7D254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39486</xdr:colOff>
      <xdr:row>20</xdr:row>
      <xdr:rowOff>62536</xdr:rowOff>
    </xdr:from>
    <xdr:to>
      <xdr:col>13</xdr:col>
      <xdr:colOff>599464</xdr:colOff>
      <xdr:row>33</xdr:row>
      <xdr:rowOff>98871</xdr:rowOff>
    </xdr:to>
    <xdr:graphicFrame macro="">
      <xdr:nvGraphicFramePr>
        <xdr:cNvPr id="5" name="Chart 4">
          <a:extLst>
            <a:ext uri="{FF2B5EF4-FFF2-40B4-BE49-F238E27FC236}">
              <a16:creationId xmlns:a16="http://schemas.microsoft.com/office/drawing/2014/main" id="{2D995968-FC88-402B-B33C-BC27688B5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180601</xdr:rowOff>
    </xdr:from>
    <xdr:to>
      <xdr:col>2</xdr:col>
      <xdr:colOff>0</xdr:colOff>
      <xdr:row>11</xdr:row>
      <xdr:rowOff>157740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7FDB4C5-EB71-2FC0-0A6D-D2CD057BD83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69172"/>
              <a:ext cx="1215571" cy="88428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20</xdr:row>
      <xdr:rowOff>56608</xdr:rowOff>
    </xdr:from>
    <xdr:to>
      <xdr:col>2</xdr:col>
      <xdr:colOff>441960</xdr:colOff>
      <xdr:row>33</xdr:row>
      <xdr:rowOff>173084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B20A2EB-36FC-5FF3-E597-C4EB8A5744C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 y="3685179"/>
              <a:ext cx="1649911" cy="247504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6475</xdr:rowOff>
    </xdr:from>
    <xdr:to>
      <xdr:col>2</xdr:col>
      <xdr:colOff>7620</xdr:colOff>
      <xdr:row>20</xdr:row>
      <xdr:rowOff>14094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8939CCA-0613-8C40-9822-E88F059D78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83618"/>
              <a:ext cx="1223191" cy="14590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321661</xdr:colOff>
      <xdr:row>0</xdr:row>
      <xdr:rowOff>57906</xdr:rowOff>
    </xdr:from>
    <xdr:ext cx="3687003" cy="436786"/>
    <xdr:sp macro="" textlink="">
      <xdr:nvSpPr>
        <xdr:cNvPr id="9" name="TextBox 8">
          <a:extLst>
            <a:ext uri="{FF2B5EF4-FFF2-40B4-BE49-F238E27FC236}">
              <a16:creationId xmlns:a16="http://schemas.microsoft.com/office/drawing/2014/main" id="{083995F8-54D1-00BC-D82B-ED44DB144B66}"/>
            </a:ext>
          </a:extLst>
        </xdr:cNvPr>
        <xdr:cNvSpPr txBox="1"/>
      </xdr:nvSpPr>
      <xdr:spPr>
        <a:xfrm>
          <a:off x="8866947" y="57906"/>
          <a:ext cx="3687003"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lvl="0" algn="l"/>
          <a:r>
            <a:rPr lang="en-ZA"/>
            <a:t>Identifying key customer segments and factors influencing bike purchase decisions.</a:t>
          </a:r>
          <a:endParaRPr lang="en-ZA" sz="1100"/>
        </a:p>
      </xdr:txBody>
    </xdr:sp>
    <xdr:clientData/>
  </xdr:oneCellAnchor>
  <xdr:twoCellAnchor>
    <xdr:from>
      <xdr:col>8</xdr:col>
      <xdr:colOff>42333</xdr:colOff>
      <xdr:row>3</xdr:row>
      <xdr:rowOff>93417</xdr:rowOff>
    </xdr:from>
    <xdr:to>
      <xdr:col>14</xdr:col>
      <xdr:colOff>397933</xdr:colOff>
      <xdr:row>16</xdr:row>
      <xdr:rowOff>152371</xdr:rowOff>
    </xdr:to>
    <xdr:graphicFrame macro="">
      <xdr:nvGraphicFramePr>
        <xdr:cNvPr id="22" name="Chart 21">
          <a:extLst>
            <a:ext uri="{FF2B5EF4-FFF2-40B4-BE49-F238E27FC236}">
              <a16:creationId xmlns:a16="http://schemas.microsoft.com/office/drawing/2014/main" id="{EB234CBF-662B-448F-8F1F-2093BB13C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xdr:colOff>
      <xdr:row>20</xdr:row>
      <xdr:rowOff>78319</xdr:rowOff>
    </xdr:from>
    <xdr:to>
      <xdr:col>21</xdr:col>
      <xdr:colOff>34290</xdr:colOff>
      <xdr:row>33</xdr:row>
      <xdr:rowOff>91643</xdr:rowOff>
    </xdr:to>
    <xdr:graphicFrame macro="">
      <xdr:nvGraphicFramePr>
        <xdr:cNvPr id="24" name="Chart 23">
          <a:extLst>
            <a:ext uri="{FF2B5EF4-FFF2-40B4-BE49-F238E27FC236}">
              <a16:creationId xmlns:a16="http://schemas.microsoft.com/office/drawing/2014/main" id="{F17A0A6C-B05C-4BC3-8637-C6E0A5D55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457200</xdr:colOff>
      <xdr:row>3</xdr:row>
      <xdr:rowOff>69620</xdr:rowOff>
    </xdr:from>
    <xdr:to>
      <xdr:col>21</xdr:col>
      <xdr:colOff>0</xdr:colOff>
      <xdr:row>16</xdr:row>
      <xdr:rowOff>161576</xdr:rowOff>
    </xdr:to>
    <xdr:graphicFrame macro="">
      <xdr:nvGraphicFramePr>
        <xdr:cNvPr id="25" name="Chart 24">
          <a:extLst>
            <a:ext uri="{FF2B5EF4-FFF2-40B4-BE49-F238E27FC236}">
              <a16:creationId xmlns:a16="http://schemas.microsoft.com/office/drawing/2014/main" id="{D81F7F13-384A-4FDD-99EB-E0907E636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157368</xdr:colOff>
      <xdr:row>3</xdr:row>
      <xdr:rowOff>78105</xdr:rowOff>
    </xdr:from>
    <xdr:to>
      <xdr:col>2</xdr:col>
      <xdr:colOff>57593</xdr:colOff>
      <xdr:row>6</xdr:row>
      <xdr:rowOff>78105</xdr:rowOff>
    </xdr:to>
    <xdr:sp macro="" textlink="">
      <xdr:nvSpPr>
        <xdr:cNvPr id="27" name="Rectangle: Rounded Corners 26">
          <a:extLst>
            <a:ext uri="{FF2B5EF4-FFF2-40B4-BE49-F238E27FC236}">
              <a16:creationId xmlns:a16="http://schemas.microsoft.com/office/drawing/2014/main" id="{2654F53D-03FA-A897-3C81-658F097A016C}"/>
            </a:ext>
          </a:extLst>
        </xdr:cNvPr>
        <xdr:cNvSpPr/>
      </xdr:nvSpPr>
      <xdr:spPr>
        <a:xfrm>
          <a:off x="157368" y="621030"/>
          <a:ext cx="1119425" cy="54292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 </a:t>
          </a:r>
        </a:p>
      </xdr:txBody>
    </xdr:sp>
    <xdr:clientData/>
  </xdr:twoCellAnchor>
  <xdr:oneCellAnchor>
    <xdr:from>
      <xdr:col>0</xdr:col>
      <xdr:colOff>164047</xdr:colOff>
      <xdr:row>4</xdr:row>
      <xdr:rowOff>106214</xdr:rowOff>
    </xdr:from>
    <xdr:ext cx="774416" cy="358592"/>
    <xdr:sp macro="" textlink="'Pivot Table'!A109">
      <xdr:nvSpPr>
        <xdr:cNvPr id="30" name="TextBox 29">
          <a:extLst>
            <a:ext uri="{FF2B5EF4-FFF2-40B4-BE49-F238E27FC236}">
              <a16:creationId xmlns:a16="http://schemas.microsoft.com/office/drawing/2014/main" id="{02F3F51D-BFDE-D144-4981-2A5539A21788}"/>
            </a:ext>
          </a:extLst>
        </xdr:cNvPr>
        <xdr:cNvSpPr txBox="1"/>
      </xdr:nvSpPr>
      <xdr:spPr>
        <a:xfrm>
          <a:off x="164047" y="844151"/>
          <a:ext cx="774416" cy="358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76012F3-FF4A-4061-BBDF-DE0514F48A22}" type="TxLink">
            <a:rPr lang="en-US" sz="1600" b="1" i="0" u="none" strike="noStrike">
              <a:solidFill>
                <a:schemeClr val="bg1"/>
              </a:solidFill>
              <a:latin typeface="Arial Black" panose="020B0A04020102020204" pitchFamily="34" charset="0"/>
              <a:cs typeface="Calibri"/>
            </a:rPr>
            <a:t>1026</a:t>
          </a:fld>
          <a:endParaRPr lang="en-US" sz="1600" b="1">
            <a:solidFill>
              <a:schemeClr val="bg1"/>
            </a:solidFill>
            <a:latin typeface="Arial Black" panose="020B0A04020102020204" pitchFamily="34" charset="0"/>
          </a:endParaRPr>
        </a:p>
      </xdr:txBody>
    </xdr:sp>
    <xdr:clientData/>
  </xdr:oneCellAnchor>
  <xdr:twoCellAnchor>
    <xdr:from>
      <xdr:col>4</xdr:col>
      <xdr:colOff>117041</xdr:colOff>
      <xdr:row>3</xdr:row>
      <xdr:rowOff>97177</xdr:rowOff>
    </xdr:from>
    <xdr:to>
      <xdr:col>6</xdr:col>
      <xdr:colOff>17266</xdr:colOff>
      <xdr:row>6</xdr:row>
      <xdr:rowOff>97177</xdr:rowOff>
    </xdr:to>
    <xdr:sp macro="" textlink="">
      <xdr:nvSpPr>
        <xdr:cNvPr id="33" name="Rectangle: Rounded Corners 32">
          <a:extLst>
            <a:ext uri="{FF2B5EF4-FFF2-40B4-BE49-F238E27FC236}">
              <a16:creationId xmlns:a16="http://schemas.microsoft.com/office/drawing/2014/main" id="{C580DEEE-2C02-4333-BEDF-50F24252E1CD}"/>
            </a:ext>
          </a:extLst>
        </xdr:cNvPr>
        <xdr:cNvSpPr/>
      </xdr:nvSpPr>
      <xdr:spPr>
        <a:xfrm>
          <a:off x="2548592" y="636570"/>
          <a:ext cx="1116000" cy="5393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 </a:t>
          </a:r>
        </a:p>
      </xdr:txBody>
    </xdr:sp>
    <xdr:clientData/>
  </xdr:twoCellAnchor>
  <xdr:oneCellAnchor>
    <xdr:from>
      <xdr:col>4</xdr:col>
      <xdr:colOff>127914</xdr:colOff>
      <xdr:row>4</xdr:row>
      <xdr:rowOff>112738</xdr:rowOff>
    </xdr:from>
    <xdr:ext cx="723531" cy="345544"/>
    <xdr:sp macro="" textlink="">
      <xdr:nvSpPr>
        <xdr:cNvPr id="35" name="TextBox 34">
          <a:extLst>
            <a:ext uri="{FF2B5EF4-FFF2-40B4-BE49-F238E27FC236}">
              <a16:creationId xmlns:a16="http://schemas.microsoft.com/office/drawing/2014/main" id="{D402D03E-A828-7089-2694-87EF679FF6BC}"/>
            </a:ext>
          </a:extLst>
        </xdr:cNvPr>
        <xdr:cNvSpPr txBox="1"/>
      </xdr:nvSpPr>
      <xdr:spPr>
        <a:xfrm>
          <a:off x="2566314" y="850675"/>
          <a:ext cx="723531"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ZA" sz="1400" b="1" i="0" u="none" strike="noStrike">
              <a:solidFill>
                <a:schemeClr val="bg1"/>
              </a:solidFill>
              <a:effectLst/>
              <a:latin typeface="Arial Black" panose="020B0A04020102020204" pitchFamily="34" charset="0"/>
              <a:ea typeface="+mn-ea"/>
              <a:cs typeface="+mn-cs"/>
            </a:rPr>
            <a:t>30-45</a:t>
          </a:r>
          <a:endParaRPr lang="en-ZA" sz="1600" b="1">
            <a:solidFill>
              <a:schemeClr val="bg1"/>
            </a:solidFill>
            <a:latin typeface="Arial Black" panose="020B0A04020102020204" pitchFamily="34" charset="0"/>
          </a:endParaRPr>
        </a:p>
      </xdr:txBody>
    </xdr:sp>
    <xdr:clientData/>
  </xdr:oneCellAnchor>
  <xdr:twoCellAnchor>
    <xdr:from>
      <xdr:col>6</xdr:col>
      <xdr:colOff>74230</xdr:colOff>
      <xdr:row>3</xdr:row>
      <xdr:rowOff>105738</xdr:rowOff>
    </xdr:from>
    <xdr:to>
      <xdr:col>7</xdr:col>
      <xdr:colOff>582343</xdr:colOff>
      <xdr:row>6</xdr:row>
      <xdr:rowOff>105738</xdr:rowOff>
    </xdr:to>
    <xdr:sp macro="" textlink="">
      <xdr:nvSpPr>
        <xdr:cNvPr id="37" name="Rectangle: Rounded Corners 36">
          <a:extLst>
            <a:ext uri="{FF2B5EF4-FFF2-40B4-BE49-F238E27FC236}">
              <a16:creationId xmlns:a16="http://schemas.microsoft.com/office/drawing/2014/main" id="{67C6F3E9-47FB-EFF8-36D0-51039C3D67A8}"/>
            </a:ext>
          </a:extLst>
        </xdr:cNvPr>
        <xdr:cNvSpPr/>
      </xdr:nvSpPr>
      <xdr:spPr>
        <a:xfrm>
          <a:off x="3721556" y="645131"/>
          <a:ext cx="1116000" cy="53939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 </a:t>
          </a:r>
        </a:p>
      </xdr:txBody>
    </xdr:sp>
    <xdr:clientData/>
  </xdr:twoCellAnchor>
  <xdr:oneCellAnchor>
    <xdr:from>
      <xdr:col>6</xdr:col>
      <xdr:colOff>104272</xdr:colOff>
      <xdr:row>4</xdr:row>
      <xdr:rowOff>112738</xdr:rowOff>
    </xdr:from>
    <xdr:ext cx="1062278" cy="345544"/>
    <xdr:sp macro="" textlink="">
      <xdr:nvSpPr>
        <xdr:cNvPr id="36" name="TextBox 35">
          <a:extLst>
            <a:ext uri="{FF2B5EF4-FFF2-40B4-BE49-F238E27FC236}">
              <a16:creationId xmlns:a16="http://schemas.microsoft.com/office/drawing/2014/main" id="{79B72CA9-F6C7-AAA4-C2C9-541967097F45}"/>
            </a:ext>
          </a:extLst>
        </xdr:cNvPr>
        <xdr:cNvSpPr txBox="1"/>
      </xdr:nvSpPr>
      <xdr:spPr>
        <a:xfrm>
          <a:off x="3761872" y="850675"/>
          <a:ext cx="1062278"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ZA" sz="1400">
              <a:solidFill>
                <a:schemeClr val="bg1"/>
              </a:solidFill>
              <a:latin typeface="Arial Black" panose="020B0A04020102020204" pitchFamily="34" charset="0"/>
            </a:rPr>
            <a:t>2-5 Miles</a:t>
          </a:r>
        </a:p>
      </xdr:txBody>
    </xdr:sp>
    <xdr:clientData/>
  </xdr:oneCellAnchor>
  <xdr:oneCellAnchor>
    <xdr:from>
      <xdr:col>2</xdr:col>
      <xdr:colOff>239730</xdr:colOff>
      <xdr:row>4</xdr:row>
      <xdr:rowOff>94656</xdr:rowOff>
    </xdr:from>
    <xdr:ext cx="663515" cy="381708"/>
    <xdr:sp macro="" textlink="'Pivot Table'!A115">
      <xdr:nvSpPr>
        <xdr:cNvPr id="39" name="TextBox 38">
          <a:extLst>
            <a:ext uri="{FF2B5EF4-FFF2-40B4-BE49-F238E27FC236}">
              <a16:creationId xmlns:a16="http://schemas.microsoft.com/office/drawing/2014/main" id="{6F2A1B23-DA73-902F-6AF5-E0931E60B58F}"/>
            </a:ext>
          </a:extLst>
        </xdr:cNvPr>
        <xdr:cNvSpPr txBox="1"/>
      </xdr:nvSpPr>
      <xdr:spPr>
        <a:xfrm>
          <a:off x="1458930" y="832593"/>
          <a:ext cx="663515"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B488023-4129-4769-9D8F-B09DE6880A37}" type="TxLink">
            <a:rPr lang="en-US" sz="1600" b="0" i="0" u="none" strike="noStrike">
              <a:solidFill>
                <a:schemeClr val="bg1"/>
              </a:solidFill>
              <a:latin typeface="Arial Black" panose="020B0A04020102020204" pitchFamily="34" charset="0"/>
              <a:cs typeface="Calibri"/>
            </a:rPr>
            <a:t>48%</a:t>
          </a:fld>
          <a:endParaRPr lang="en-ZA" sz="1600">
            <a:solidFill>
              <a:schemeClr val="bg1"/>
            </a:solidFill>
            <a:latin typeface="Arial Black" panose="020B0A04020102020204" pitchFamily="34" charset="0"/>
          </a:endParaRPr>
        </a:p>
      </xdr:txBody>
    </xdr:sp>
    <xdr:clientData/>
  </xdr:oneCellAnchor>
  <xdr:oneCellAnchor>
    <xdr:from>
      <xdr:col>8</xdr:col>
      <xdr:colOff>68580</xdr:colOff>
      <xdr:row>17</xdr:row>
      <xdr:rowOff>68581</xdr:rowOff>
    </xdr:from>
    <xdr:ext cx="7884383" cy="502920"/>
    <xdr:sp macro="" textlink="">
      <xdr:nvSpPr>
        <xdr:cNvPr id="40" name="TextBox 39">
          <a:extLst>
            <a:ext uri="{FF2B5EF4-FFF2-40B4-BE49-F238E27FC236}">
              <a16:creationId xmlns:a16="http://schemas.microsoft.com/office/drawing/2014/main" id="{19E6038C-F612-D5FF-D763-96E82C9FED37}"/>
            </a:ext>
          </a:extLst>
        </xdr:cNvPr>
        <xdr:cNvSpPr txBox="1"/>
      </xdr:nvSpPr>
      <xdr:spPr>
        <a:xfrm>
          <a:off x="4930866" y="3152867"/>
          <a:ext cx="7884383" cy="502920"/>
        </a:xfrm>
        <a:prstGeom prst="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n-ZA" sz="1100" i="1">
              <a:solidFill>
                <a:schemeClr val="tx1"/>
              </a:solidFill>
              <a:latin typeface="+mn-lt"/>
              <a:cs typeface="Arial" panose="020B0604020202020204" pitchFamily="34" charset="0"/>
            </a:rPr>
            <a:t>“</a:t>
          </a:r>
          <a:r>
            <a:rPr lang="en-ZA" sz="1100" i="1">
              <a:latin typeface="+mn-lt"/>
              <a:cs typeface="Arial" panose="020B0604020202020204" pitchFamily="34" charset="0"/>
            </a:rPr>
            <a:t>Customers aged 30–45 with moderate commute distances (2–5 miles) show the highest likelihood of purchasing bikes. Behavioral factors such as commute distance have a stronger influence than income, indicating a clear opportunity for targeted marketing."</a:t>
          </a:r>
          <a:endParaRPr lang="en-ZA" sz="1100" i="1">
            <a:solidFill>
              <a:schemeClr val="tx1"/>
            </a:solidFill>
            <a:latin typeface="+mn-lt"/>
            <a:cs typeface="Arial" panose="020B0604020202020204" pitchFamily="34" charset="0"/>
          </a:endParaRPr>
        </a:p>
      </xdr:txBody>
    </xdr:sp>
    <xdr:clientData/>
  </xdr:oneCellAnchor>
  <xdr:oneCellAnchor>
    <xdr:from>
      <xdr:col>0</xdr:col>
      <xdr:colOff>127635</xdr:colOff>
      <xdr:row>3</xdr:row>
      <xdr:rowOff>143434</xdr:rowOff>
    </xdr:from>
    <xdr:ext cx="1095300" cy="224998"/>
    <xdr:sp macro="" textlink="">
      <xdr:nvSpPr>
        <xdr:cNvPr id="41" name="TextBox 40">
          <a:extLst>
            <a:ext uri="{FF2B5EF4-FFF2-40B4-BE49-F238E27FC236}">
              <a16:creationId xmlns:a16="http://schemas.microsoft.com/office/drawing/2014/main" id="{8F3A64B5-3377-CF2C-9B02-8DDA88102813}"/>
            </a:ext>
          </a:extLst>
        </xdr:cNvPr>
        <xdr:cNvSpPr txBox="1"/>
      </xdr:nvSpPr>
      <xdr:spPr>
        <a:xfrm>
          <a:off x="127635" y="696887"/>
          <a:ext cx="1095300"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ZA" sz="900" b="1">
              <a:solidFill>
                <a:schemeClr val="bg1"/>
              </a:solidFill>
              <a:latin typeface="Arial" panose="020B0604020202020204" pitchFamily="34" charset="0"/>
              <a:cs typeface="Arial" panose="020B0604020202020204" pitchFamily="34" charset="0"/>
            </a:rPr>
            <a:t>Total Customers</a:t>
          </a:r>
        </a:p>
      </xdr:txBody>
    </xdr:sp>
    <xdr:clientData/>
  </xdr:oneCellAnchor>
  <xdr:oneCellAnchor>
    <xdr:from>
      <xdr:col>2</xdr:col>
      <xdr:colOff>226695</xdr:colOff>
      <xdr:row>3</xdr:row>
      <xdr:rowOff>143434</xdr:rowOff>
    </xdr:from>
    <xdr:ext cx="986552" cy="224998"/>
    <xdr:sp macro="" textlink="">
      <xdr:nvSpPr>
        <xdr:cNvPr id="42" name="TextBox 41">
          <a:extLst>
            <a:ext uri="{FF2B5EF4-FFF2-40B4-BE49-F238E27FC236}">
              <a16:creationId xmlns:a16="http://schemas.microsoft.com/office/drawing/2014/main" id="{CC97B2BC-51F0-8B98-ED33-07F4606C77D7}"/>
            </a:ext>
          </a:extLst>
        </xdr:cNvPr>
        <xdr:cNvSpPr txBox="1"/>
      </xdr:nvSpPr>
      <xdr:spPr>
        <a:xfrm>
          <a:off x="1445895" y="696887"/>
          <a:ext cx="986552"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ZA" sz="900" b="1">
              <a:solidFill>
                <a:schemeClr val="bg1"/>
              </a:solidFill>
              <a:latin typeface="Arial" panose="020B0604020202020204" pitchFamily="34" charset="0"/>
              <a:cs typeface="Arial" panose="020B0604020202020204" pitchFamily="34" charset="0"/>
            </a:rPr>
            <a:t>Purchase Rate</a:t>
          </a:r>
        </a:p>
      </xdr:txBody>
    </xdr:sp>
    <xdr:clientData/>
  </xdr:oneCellAnchor>
  <xdr:oneCellAnchor>
    <xdr:from>
      <xdr:col>4</xdr:col>
      <xdr:colOff>80211</xdr:colOff>
      <xdr:row>3</xdr:row>
      <xdr:rowOff>91850</xdr:rowOff>
    </xdr:from>
    <xdr:ext cx="1130969" cy="328167"/>
    <xdr:sp macro="" textlink="">
      <xdr:nvSpPr>
        <xdr:cNvPr id="43" name="TextBox 42">
          <a:extLst>
            <a:ext uri="{FF2B5EF4-FFF2-40B4-BE49-F238E27FC236}">
              <a16:creationId xmlns:a16="http://schemas.microsoft.com/office/drawing/2014/main" id="{ABAAD5CA-57D7-9909-19A7-2E340B053BD3}"/>
            </a:ext>
          </a:extLst>
        </xdr:cNvPr>
        <xdr:cNvSpPr txBox="1"/>
      </xdr:nvSpPr>
      <xdr:spPr>
        <a:xfrm>
          <a:off x="2518611" y="645303"/>
          <a:ext cx="1130969" cy="328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800" b="1">
              <a:solidFill>
                <a:schemeClr val="bg1"/>
              </a:solidFill>
              <a:latin typeface="Arial" panose="020B0604020202020204" pitchFamily="34" charset="0"/>
              <a:cs typeface="Arial" panose="020B0604020202020204" pitchFamily="34" charset="0"/>
            </a:rPr>
            <a:t>Avg Income (Buyers)</a:t>
          </a:r>
        </a:p>
      </xdr:txBody>
    </xdr:sp>
    <xdr:clientData/>
  </xdr:oneCellAnchor>
  <xdr:oneCellAnchor>
    <xdr:from>
      <xdr:col>6</xdr:col>
      <xdr:colOff>52237</xdr:colOff>
      <xdr:row>3</xdr:row>
      <xdr:rowOff>77102</xdr:rowOff>
    </xdr:from>
    <xdr:ext cx="947952" cy="357662"/>
    <xdr:sp macro="" textlink="">
      <xdr:nvSpPr>
        <xdr:cNvPr id="44" name="TextBox 43">
          <a:extLst>
            <a:ext uri="{FF2B5EF4-FFF2-40B4-BE49-F238E27FC236}">
              <a16:creationId xmlns:a16="http://schemas.microsoft.com/office/drawing/2014/main" id="{71F40953-22D4-F72C-D76F-86D193C2EDDE}"/>
            </a:ext>
          </a:extLst>
        </xdr:cNvPr>
        <xdr:cNvSpPr txBox="1"/>
      </xdr:nvSpPr>
      <xdr:spPr>
        <a:xfrm>
          <a:off x="3709837" y="630555"/>
          <a:ext cx="947952" cy="35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ZA" sz="900" b="1">
              <a:solidFill>
                <a:schemeClr val="bg1"/>
              </a:solidFill>
              <a:latin typeface="Arial" panose="020B0604020202020204" pitchFamily="34" charset="0"/>
              <a:cs typeface="Arial" panose="020B0604020202020204" pitchFamily="34" charset="0"/>
            </a:rPr>
            <a:t>Best</a:t>
          </a:r>
          <a:r>
            <a:rPr lang="en-ZA" sz="900" b="1" baseline="0">
              <a:solidFill>
                <a:schemeClr val="bg1"/>
              </a:solidFill>
              <a:latin typeface="Arial" panose="020B0604020202020204" pitchFamily="34" charset="0"/>
              <a:cs typeface="Arial" panose="020B0604020202020204" pitchFamily="34" charset="0"/>
            </a:rPr>
            <a:t> Distance</a:t>
          </a:r>
        </a:p>
        <a:p>
          <a:r>
            <a:rPr lang="en-ZA" sz="900" b="1" baseline="0">
              <a:solidFill>
                <a:schemeClr val="bg1"/>
              </a:solidFill>
              <a:latin typeface="Arial" panose="020B0604020202020204" pitchFamily="34" charset="0"/>
              <a:cs typeface="Arial" panose="020B0604020202020204" pitchFamily="34" charset="0"/>
            </a:rPr>
            <a:t>Range</a:t>
          </a:r>
          <a:endParaRPr lang="en-ZA" sz="900" b="1">
            <a:solidFill>
              <a:schemeClr val="bg1"/>
            </a:solidFill>
            <a:latin typeface="Arial" panose="020B0604020202020204" pitchFamily="34" charset="0"/>
            <a:cs typeface="Arial" panose="020B06040202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5952.600437962959" createdVersion="8" refreshedVersion="8" minRefreshableVersion="3" recordCount="1000" xr:uid="{FBDE45BB-FCB2-4DEC-B344-904ED9824E7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Stage"/>
        <s v="Old"/>
        <s v="Adolescnt"/>
      </sharedItems>
    </cacheField>
    <cacheField name="Purchased Bike" numFmtId="0">
      <sharedItems count="2">
        <s v="No"/>
        <s v="Yes"/>
      </sharedItems>
    </cacheField>
  </cacheFields>
  <extLst>
    <ext xmlns:x14="http://schemas.microsoft.com/office/spreadsheetml/2009/9/main" uri="{725AE2AE-9491-48be-B2B4-4EB974FC3084}">
      <x14:pivotCacheDefinition pivotCacheId="17486692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106.562572222225" createdVersion="8" refreshedVersion="8" minRefreshableVersion="3" recordCount="1026" xr:uid="{D62D592B-E157-4AEF-8B11-1CF65EAB49FD}">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s v="F"/>
    <n v="40000"/>
    <n v="1"/>
    <s v="Bachelors"/>
    <x v="0"/>
    <x v="0"/>
    <x v="0"/>
    <s v="0-1 Miles"/>
    <s v="Europe"/>
    <x v="0"/>
    <x v="0"/>
  </r>
  <r>
    <n v="24107"/>
    <s v="M"/>
    <s v="M"/>
    <n v="30000"/>
    <n v="3"/>
    <s v="Partial College"/>
    <x v="1"/>
    <x v="0"/>
    <x v="1"/>
    <s v="0-1 Miles"/>
    <s v="Europe"/>
    <x v="1"/>
    <x v="0"/>
  </r>
  <r>
    <n v="14177"/>
    <s v="M"/>
    <s v="M"/>
    <n v="80000"/>
    <n v="5"/>
    <s v="Partial College"/>
    <x v="2"/>
    <x v="1"/>
    <x v="2"/>
    <s v="2-5 Miles"/>
    <s v="Europe"/>
    <x v="2"/>
    <x v="0"/>
  </r>
  <r>
    <n v="24381"/>
    <s v="S"/>
    <s v="M"/>
    <n v="70000"/>
    <n v="0"/>
    <s v="Bachelors"/>
    <x v="2"/>
    <x v="0"/>
    <x v="1"/>
    <s v="5-10 Miles"/>
    <s v="Pacific"/>
    <x v="3"/>
    <x v="1"/>
  </r>
  <r>
    <n v="25597"/>
    <s v="S"/>
    <s v="M"/>
    <n v="30000"/>
    <n v="0"/>
    <s v="Bachelors"/>
    <x v="1"/>
    <x v="1"/>
    <x v="0"/>
    <s v="0-1 Miles"/>
    <s v="Europe"/>
    <x v="4"/>
    <x v="1"/>
  </r>
  <r>
    <n v="13507"/>
    <s v="M"/>
    <s v="F"/>
    <n v="10000"/>
    <n v="2"/>
    <s v="Partial College"/>
    <x v="3"/>
    <x v="0"/>
    <x v="0"/>
    <s v="1-2 Miles"/>
    <s v="Europe"/>
    <x v="5"/>
    <x v="0"/>
  </r>
  <r>
    <n v="27974"/>
    <s v="S"/>
    <s v="M"/>
    <n v="160000"/>
    <n v="2"/>
    <s v="High School"/>
    <x v="4"/>
    <x v="0"/>
    <x v="3"/>
    <s v="0-1 Miles"/>
    <s v="Pacific"/>
    <x v="6"/>
    <x v="1"/>
  </r>
  <r>
    <n v="19364"/>
    <s v="M"/>
    <s v="M"/>
    <n v="40000"/>
    <n v="1"/>
    <s v="Bachelors"/>
    <x v="0"/>
    <x v="0"/>
    <x v="0"/>
    <s v="0-1 Miles"/>
    <s v="Europe"/>
    <x v="1"/>
    <x v="1"/>
  </r>
  <r>
    <n v="22155"/>
    <s v="M"/>
    <s v="M"/>
    <n v="20000"/>
    <n v="2"/>
    <s v="Partial High School"/>
    <x v="1"/>
    <x v="0"/>
    <x v="2"/>
    <s v="5-10 Miles"/>
    <s v="Pacific"/>
    <x v="7"/>
    <x v="0"/>
  </r>
  <r>
    <n v="19280"/>
    <s v="M"/>
    <s v="M"/>
    <n v="120000"/>
    <n v="2"/>
    <s v="Partial College"/>
    <x v="3"/>
    <x v="0"/>
    <x v="1"/>
    <s v="0-1 Miles"/>
    <s v="Europe"/>
    <x v="8"/>
    <x v="1"/>
  </r>
  <r>
    <n v="22173"/>
    <s v="M"/>
    <s v="F"/>
    <n v="30000"/>
    <n v="3"/>
    <s v="High School"/>
    <x v="0"/>
    <x v="1"/>
    <x v="2"/>
    <s v="1-2 Miles"/>
    <s v="Pacific"/>
    <x v="9"/>
    <x v="1"/>
  </r>
  <r>
    <n v="12697"/>
    <s v="S"/>
    <s v="F"/>
    <n v="90000"/>
    <n v="0"/>
    <s v="Bachelors"/>
    <x v="2"/>
    <x v="1"/>
    <x v="3"/>
    <s v="10+ Miles"/>
    <s v="Pacific"/>
    <x v="4"/>
    <x v="0"/>
  </r>
  <r>
    <n v="11434"/>
    <s v="M"/>
    <s v="M"/>
    <n v="170000"/>
    <n v="5"/>
    <s v="Partial College"/>
    <x v="2"/>
    <x v="0"/>
    <x v="0"/>
    <s v="0-1 Miles"/>
    <s v="Europe"/>
    <x v="10"/>
    <x v="0"/>
  </r>
  <r>
    <n v="25323"/>
    <s v="M"/>
    <s v="M"/>
    <n v="40000"/>
    <n v="2"/>
    <s v="Partial College"/>
    <x v="1"/>
    <x v="0"/>
    <x v="1"/>
    <s v="1-2 Miles"/>
    <s v="Europe"/>
    <x v="11"/>
    <x v="1"/>
  </r>
  <r>
    <n v="23542"/>
    <s v="S"/>
    <s v="M"/>
    <n v="60000"/>
    <n v="1"/>
    <s v="Partial College"/>
    <x v="0"/>
    <x v="1"/>
    <x v="1"/>
    <s v="0-1 Miles"/>
    <s v="Pacific"/>
    <x v="12"/>
    <x v="1"/>
  </r>
  <r>
    <n v="20870"/>
    <s v="S"/>
    <s v="F"/>
    <n v="10000"/>
    <n v="2"/>
    <s v="High School"/>
    <x v="3"/>
    <x v="0"/>
    <x v="1"/>
    <s v="0-1 Miles"/>
    <s v="Europe"/>
    <x v="13"/>
    <x v="1"/>
  </r>
  <r>
    <n v="23316"/>
    <s v="S"/>
    <s v="M"/>
    <n v="30000"/>
    <n v="3"/>
    <s v="Partial College"/>
    <x v="1"/>
    <x v="1"/>
    <x v="2"/>
    <s v="1-2 Miles"/>
    <s v="Pacific"/>
    <x v="14"/>
    <x v="1"/>
  </r>
  <r>
    <n v="12610"/>
    <s v="M"/>
    <s v="F"/>
    <n v="30000"/>
    <n v="1"/>
    <s v="Bachelors"/>
    <x v="1"/>
    <x v="0"/>
    <x v="0"/>
    <s v="0-1 Miles"/>
    <s v="Europe"/>
    <x v="15"/>
    <x v="0"/>
  </r>
  <r>
    <n v="27183"/>
    <s v="S"/>
    <s v="M"/>
    <n v="40000"/>
    <n v="2"/>
    <s v="Partial College"/>
    <x v="1"/>
    <x v="0"/>
    <x v="1"/>
    <s v="1-2 Miles"/>
    <s v="Europe"/>
    <x v="11"/>
    <x v="1"/>
  </r>
  <r>
    <n v="25940"/>
    <s v="S"/>
    <s v="M"/>
    <n v="20000"/>
    <n v="2"/>
    <s v="Partial High School"/>
    <x v="1"/>
    <x v="0"/>
    <x v="2"/>
    <s v="5-10 Miles"/>
    <s v="Pacific"/>
    <x v="10"/>
    <x v="1"/>
  </r>
  <r>
    <n v="25598"/>
    <s v="M"/>
    <s v="F"/>
    <n v="40000"/>
    <n v="0"/>
    <s v="Graduate Degree"/>
    <x v="1"/>
    <x v="0"/>
    <x v="0"/>
    <s v="0-1 Miles"/>
    <s v="Europe"/>
    <x v="4"/>
    <x v="1"/>
  </r>
  <r>
    <n v="21564"/>
    <s v="S"/>
    <s v="F"/>
    <n v="80000"/>
    <n v="0"/>
    <s v="Bachelors"/>
    <x v="2"/>
    <x v="0"/>
    <x v="3"/>
    <s v="10+ Miles"/>
    <s v="Pacific"/>
    <x v="11"/>
    <x v="0"/>
  </r>
  <r>
    <n v="19193"/>
    <s v="S"/>
    <s v="M"/>
    <n v="40000"/>
    <n v="2"/>
    <s v="Partial College"/>
    <x v="1"/>
    <x v="0"/>
    <x v="0"/>
    <s v="1-2 Miles"/>
    <s v="Europe"/>
    <x v="11"/>
    <x v="1"/>
  </r>
  <r>
    <n v="26412"/>
    <s v="M"/>
    <s v="F"/>
    <n v="80000"/>
    <n v="5"/>
    <s v="High School"/>
    <x v="4"/>
    <x v="1"/>
    <x v="4"/>
    <s v="5-10 Miles"/>
    <s v="Europe"/>
    <x v="16"/>
    <x v="0"/>
  </r>
  <r>
    <n v="27184"/>
    <s v="S"/>
    <s v="M"/>
    <n v="40000"/>
    <n v="2"/>
    <s v="Partial College"/>
    <x v="1"/>
    <x v="1"/>
    <x v="1"/>
    <s v="0-1 Miles"/>
    <s v="Europe"/>
    <x v="17"/>
    <x v="0"/>
  </r>
  <r>
    <n v="12590"/>
    <s v="S"/>
    <s v="M"/>
    <n v="30000"/>
    <n v="1"/>
    <s v="Bachelors"/>
    <x v="1"/>
    <x v="0"/>
    <x v="0"/>
    <s v="0-1 Miles"/>
    <s v="Europe"/>
    <x v="18"/>
    <x v="0"/>
  </r>
  <r>
    <n v="17841"/>
    <s v="S"/>
    <s v="M"/>
    <n v="30000"/>
    <n v="0"/>
    <s v="Partial College"/>
    <x v="1"/>
    <x v="1"/>
    <x v="1"/>
    <s v="0-1 Miles"/>
    <s v="Europe"/>
    <x v="19"/>
    <x v="1"/>
  </r>
  <r>
    <n v="18283"/>
    <s v="S"/>
    <s v="F"/>
    <n v="100000"/>
    <n v="0"/>
    <s v="Bachelors"/>
    <x v="2"/>
    <x v="1"/>
    <x v="1"/>
    <s v="5-10 Miles"/>
    <s v="Pacific"/>
    <x v="8"/>
    <x v="0"/>
  </r>
  <r>
    <n v="18299"/>
    <s v="M"/>
    <s v="M"/>
    <n v="70000"/>
    <n v="5"/>
    <s v="Partial College"/>
    <x v="0"/>
    <x v="0"/>
    <x v="2"/>
    <s v="5-10 Miles"/>
    <s v="Pacific"/>
    <x v="20"/>
    <x v="0"/>
  </r>
  <r>
    <n v="16466"/>
    <s v="S"/>
    <s v="F"/>
    <n v="20000"/>
    <n v="0"/>
    <s v="Partial High School"/>
    <x v="3"/>
    <x v="1"/>
    <x v="2"/>
    <s v="0-1 Miles"/>
    <s v="Europe"/>
    <x v="21"/>
    <x v="1"/>
  </r>
  <r>
    <n v="19273"/>
    <s v="M"/>
    <s v="F"/>
    <n v="20000"/>
    <n v="2"/>
    <s v="Partial College"/>
    <x v="3"/>
    <x v="0"/>
    <x v="0"/>
    <s v="0-1 Miles"/>
    <s v="Europe"/>
    <x v="18"/>
    <x v="0"/>
  </r>
  <r>
    <n v="22400"/>
    <s v="M"/>
    <s v="M"/>
    <n v="10000"/>
    <n v="0"/>
    <s v="Partial College"/>
    <x v="3"/>
    <x v="1"/>
    <x v="1"/>
    <s v="0-1 Miles"/>
    <s v="Pacific"/>
    <x v="22"/>
    <x v="1"/>
  </r>
  <r>
    <n v="20942"/>
    <s v="S"/>
    <s v="F"/>
    <n v="20000"/>
    <n v="0"/>
    <s v="High School"/>
    <x v="3"/>
    <x v="1"/>
    <x v="1"/>
    <s v="5-10 Miles"/>
    <s v="Europe"/>
    <x v="23"/>
    <x v="0"/>
  </r>
  <r>
    <n v="18484"/>
    <s v="S"/>
    <s v="M"/>
    <n v="80000"/>
    <n v="2"/>
    <s v="High School"/>
    <x v="0"/>
    <x v="1"/>
    <x v="2"/>
    <s v="1-2 Miles"/>
    <s v="Pacific"/>
    <x v="5"/>
    <x v="1"/>
  </r>
  <r>
    <n v="12291"/>
    <s v="S"/>
    <s v="M"/>
    <n v="90000"/>
    <n v="5"/>
    <s v="Partial College"/>
    <x v="2"/>
    <x v="1"/>
    <x v="2"/>
    <s v="2-5 Miles"/>
    <s v="Europe"/>
    <x v="24"/>
    <x v="1"/>
  </r>
  <r>
    <n v="28380"/>
    <s v="S"/>
    <s v="F"/>
    <n v="10000"/>
    <n v="5"/>
    <s v="Partial High School"/>
    <x v="3"/>
    <x v="1"/>
    <x v="2"/>
    <s v="0-1 Miles"/>
    <s v="Europe"/>
    <x v="3"/>
    <x v="0"/>
  </r>
  <r>
    <n v="17891"/>
    <s v="M"/>
    <s v="F"/>
    <n v="10000"/>
    <n v="2"/>
    <s v="Partial College"/>
    <x v="3"/>
    <x v="0"/>
    <x v="1"/>
    <s v="0-1 Miles"/>
    <s v="Europe"/>
    <x v="5"/>
    <x v="1"/>
  </r>
  <r>
    <n v="27832"/>
    <s v="S"/>
    <s v="F"/>
    <n v="30000"/>
    <n v="0"/>
    <s v="Partial College"/>
    <x v="1"/>
    <x v="1"/>
    <x v="1"/>
    <s v="2-5 Miles"/>
    <s v="Europe"/>
    <x v="25"/>
    <x v="0"/>
  </r>
  <r>
    <n v="26863"/>
    <s v="S"/>
    <s v="M"/>
    <n v="20000"/>
    <n v="0"/>
    <s v="High School"/>
    <x v="3"/>
    <x v="1"/>
    <x v="1"/>
    <s v="2-5 Miles"/>
    <s v="Europe"/>
    <x v="26"/>
    <x v="0"/>
  </r>
  <r>
    <n v="16259"/>
    <s v="S"/>
    <s v="F"/>
    <n v="10000"/>
    <n v="4"/>
    <s v="Partial High School"/>
    <x v="3"/>
    <x v="0"/>
    <x v="2"/>
    <s v="0-1 Miles"/>
    <s v="Europe"/>
    <x v="8"/>
    <x v="1"/>
  </r>
  <r>
    <n v="27803"/>
    <s v="S"/>
    <s v="F"/>
    <n v="30000"/>
    <n v="2"/>
    <s v="Partial College"/>
    <x v="1"/>
    <x v="1"/>
    <x v="0"/>
    <s v="0-1 Miles"/>
    <s v="Europe"/>
    <x v="1"/>
    <x v="0"/>
  </r>
  <r>
    <n v="14347"/>
    <s v="S"/>
    <s v="F"/>
    <n v="40000"/>
    <n v="2"/>
    <s v="Bachelors"/>
    <x v="4"/>
    <x v="0"/>
    <x v="2"/>
    <s v="5-10 Miles"/>
    <s v="Pacific"/>
    <x v="27"/>
    <x v="1"/>
  </r>
  <r>
    <n v="17703"/>
    <s v="M"/>
    <s v="F"/>
    <n v="10000"/>
    <n v="1"/>
    <s v="Graduate Degree"/>
    <x v="3"/>
    <x v="0"/>
    <x v="0"/>
    <s v="0-1 Miles"/>
    <s v="Europe"/>
    <x v="8"/>
    <x v="0"/>
  </r>
  <r>
    <n v="17185"/>
    <s v="M"/>
    <s v="F"/>
    <n v="170000"/>
    <n v="4"/>
    <s v="Partial College"/>
    <x v="2"/>
    <x v="1"/>
    <x v="4"/>
    <s v="5-10 Miles"/>
    <s v="Europe"/>
    <x v="28"/>
    <x v="1"/>
  </r>
  <r>
    <n v="29380"/>
    <s v="M"/>
    <s v="F"/>
    <n v="20000"/>
    <n v="3"/>
    <s v="High School"/>
    <x v="3"/>
    <x v="0"/>
    <x v="0"/>
    <s v="0-1 Miles"/>
    <s v="Europe"/>
    <x v="3"/>
    <x v="1"/>
  </r>
  <r>
    <n v="23986"/>
    <s v="M"/>
    <s v="F"/>
    <n v="20000"/>
    <n v="1"/>
    <s v="Bachelors"/>
    <x v="1"/>
    <x v="0"/>
    <x v="0"/>
    <s v="0-1 Miles"/>
    <s v="Europe"/>
    <x v="29"/>
    <x v="1"/>
  </r>
  <r>
    <n v="24466"/>
    <s v="M"/>
    <s v="F"/>
    <n v="60000"/>
    <n v="1"/>
    <s v="Partial College"/>
    <x v="0"/>
    <x v="0"/>
    <x v="1"/>
    <s v="5-10 Miles"/>
    <s v="Pacific"/>
    <x v="30"/>
    <x v="1"/>
  </r>
  <r>
    <n v="29097"/>
    <s v="S"/>
    <s v="F"/>
    <n v="40000"/>
    <n v="2"/>
    <s v="Partial College"/>
    <x v="0"/>
    <x v="0"/>
    <x v="2"/>
    <s v="5-10 Miles"/>
    <s v="Pacific"/>
    <x v="31"/>
    <x v="1"/>
  </r>
  <r>
    <n v="19487"/>
    <s v="M"/>
    <s v="M"/>
    <n v="30000"/>
    <n v="2"/>
    <s v="Partial College"/>
    <x v="1"/>
    <x v="1"/>
    <x v="2"/>
    <s v="0-1 Miles"/>
    <s v="Europe"/>
    <x v="0"/>
    <x v="0"/>
  </r>
  <r>
    <n v="14939"/>
    <s v="S"/>
    <s v="M"/>
    <n v="40000"/>
    <n v="0"/>
    <s v="Bachelors"/>
    <x v="1"/>
    <x v="0"/>
    <x v="0"/>
    <s v="0-1 Miles"/>
    <s v="Europe"/>
    <x v="32"/>
    <x v="1"/>
  </r>
  <r>
    <n v="13826"/>
    <s v="S"/>
    <s v="F"/>
    <n v="30000"/>
    <n v="0"/>
    <s v="Partial College"/>
    <x v="1"/>
    <x v="1"/>
    <x v="1"/>
    <s v="0-1 Miles"/>
    <s v="Europe"/>
    <x v="26"/>
    <x v="0"/>
  </r>
  <r>
    <n v="20619"/>
    <s v="S"/>
    <s v="M"/>
    <n v="80000"/>
    <n v="0"/>
    <s v="Bachelors"/>
    <x v="2"/>
    <x v="1"/>
    <x v="3"/>
    <s v="10+ Miles"/>
    <s v="Pacific"/>
    <x v="11"/>
    <x v="0"/>
  </r>
  <r>
    <n v="12558"/>
    <s v="M"/>
    <s v="F"/>
    <n v="20000"/>
    <n v="1"/>
    <s v="Bachelors"/>
    <x v="1"/>
    <x v="0"/>
    <x v="0"/>
    <s v="0-1 Miles"/>
    <s v="Europe"/>
    <x v="27"/>
    <x v="0"/>
  </r>
  <r>
    <n v="24871"/>
    <s v="S"/>
    <s v="F"/>
    <n v="90000"/>
    <n v="4"/>
    <s v="High School"/>
    <x v="4"/>
    <x v="1"/>
    <x v="4"/>
    <s v="5-10 Miles"/>
    <s v="Europe"/>
    <x v="16"/>
    <x v="0"/>
  </r>
  <r>
    <n v="17319"/>
    <s v="S"/>
    <s v="F"/>
    <n v="70000"/>
    <n v="0"/>
    <s v="Bachelors"/>
    <x v="2"/>
    <x v="1"/>
    <x v="1"/>
    <s v="5-10 Miles"/>
    <s v="Pacific"/>
    <x v="0"/>
    <x v="0"/>
  </r>
  <r>
    <n v="28906"/>
    <s v="M"/>
    <s v="M"/>
    <n v="80000"/>
    <n v="4"/>
    <s v="High School"/>
    <x v="2"/>
    <x v="0"/>
    <x v="2"/>
    <s v="10+ Miles"/>
    <s v="Europe"/>
    <x v="9"/>
    <x v="0"/>
  </r>
  <r>
    <n v="12808"/>
    <s v="M"/>
    <s v="M"/>
    <n v="40000"/>
    <n v="0"/>
    <s v="Bachelors"/>
    <x v="1"/>
    <x v="0"/>
    <x v="0"/>
    <s v="0-1 Miles"/>
    <s v="Europe"/>
    <x v="13"/>
    <x v="1"/>
  </r>
  <r>
    <n v="20567"/>
    <s v="M"/>
    <s v="M"/>
    <n v="130000"/>
    <n v="4"/>
    <s v="Partial College"/>
    <x v="2"/>
    <x v="1"/>
    <x v="3"/>
    <s v="5-10 Miles"/>
    <s v="Europe"/>
    <x v="33"/>
    <x v="1"/>
  </r>
  <r>
    <n v="25502"/>
    <s v="M"/>
    <s v="F"/>
    <n v="40000"/>
    <n v="1"/>
    <s v="Bachelors"/>
    <x v="0"/>
    <x v="0"/>
    <x v="0"/>
    <s v="0-1 Miles"/>
    <s v="Europe"/>
    <x v="1"/>
    <x v="1"/>
  </r>
  <r>
    <n v="15580"/>
    <s v="M"/>
    <s v="M"/>
    <n v="60000"/>
    <n v="2"/>
    <s v="Bachelors"/>
    <x v="2"/>
    <x v="0"/>
    <x v="1"/>
    <s v="2-5 Miles"/>
    <s v="Pacific"/>
    <x v="13"/>
    <x v="1"/>
  </r>
  <r>
    <n v="24185"/>
    <s v="S"/>
    <s v="F"/>
    <n v="10000"/>
    <n v="1"/>
    <s v="High School"/>
    <x v="3"/>
    <x v="1"/>
    <x v="1"/>
    <s v="1-2 Miles"/>
    <s v="Europe"/>
    <x v="12"/>
    <x v="0"/>
  </r>
  <r>
    <n v="19291"/>
    <s v="S"/>
    <s v="F"/>
    <n v="10000"/>
    <n v="2"/>
    <s v="High School"/>
    <x v="3"/>
    <x v="0"/>
    <x v="0"/>
    <s v="0-1 Miles"/>
    <s v="Europe"/>
    <x v="11"/>
    <x v="0"/>
  </r>
  <r>
    <n v="16713"/>
    <s v="M"/>
    <s v="M"/>
    <n v="40000"/>
    <n v="2"/>
    <s v="Bachelors"/>
    <x v="4"/>
    <x v="0"/>
    <x v="1"/>
    <s v="0-1 Miles"/>
    <s v="Pacific"/>
    <x v="31"/>
    <x v="1"/>
  </r>
  <r>
    <n v="16185"/>
    <s v="S"/>
    <s v="M"/>
    <n v="60000"/>
    <n v="4"/>
    <s v="Bachelors"/>
    <x v="2"/>
    <x v="0"/>
    <x v="4"/>
    <s v="10+ Miles"/>
    <s v="Pacific"/>
    <x v="3"/>
    <x v="0"/>
  </r>
  <r>
    <n v="14927"/>
    <s v="M"/>
    <s v="F"/>
    <n v="30000"/>
    <n v="1"/>
    <s v="Bachelors"/>
    <x v="1"/>
    <x v="0"/>
    <x v="0"/>
    <s v="0-1 Miles"/>
    <s v="Europe"/>
    <x v="34"/>
    <x v="1"/>
  </r>
  <r>
    <n v="29337"/>
    <s v="S"/>
    <s v="M"/>
    <n v="30000"/>
    <n v="2"/>
    <s v="Partial College"/>
    <x v="1"/>
    <x v="0"/>
    <x v="2"/>
    <s v="5-10 Miles"/>
    <s v="Pacific"/>
    <x v="35"/>
    <x v="0"/>
  </r>
  <r>
    <n v="29355"/>
    <s v="M"/>
    <s v="F"/>
    <n v="40000"/>
    <n v="0"/>
    <s v="Graduate Degree"/>
    <x v="1"/>
    <x v="0"/>
    <x v="0"/>
    <s v="0-1 Miles"/>
    <s v="Europe"/>
    <x v="34"/>
    <x v="1"/>
  </r>
  <r>
    <n v="25303"/>
    <s v="S"/>
    <s v="M"/>
    <n v="30000"/>
    <n v="0"/>
    <s v="High School"/>
    <x v="3"/>
    <x v="0"/>
    <x v="1"/>
    <s v="2-5 Miles"/>
    <s v="Europe"/>
    <x v="6"/>
    <x v="1"/>
  </r>
  <r>
    <n v="14813"/>
    <s v="S"/>
    <s v="F"/>
    <n v="20000"/>
    <n v="4"/>
    <s v="High School"/>
    <x v="3"/>
    <x v="0"/>
    <x v="1"/>
    <s v="0-1 Miles"/>
    <s v="Europe"/>
    <x v="1"/>
    <x v="1"/>
  </r>
  <r>
    <n v="16438"/>
    <s v="M"/>
    <s v="F"/>
    <n v="10000"/>
    <n v="0"/>
    <s v="Partial High School"/>
    <x v="3"/>
    <x v="1"/>
    <x v="2"/>
    <s v="0-1 Miles"/>
    <s v="Europe"/>
    <x v="25"/>
    <x v="0"/>
  </r>
  <r>
    <n v="14238"/>
    <s v="M"/>
    <s v="M"/>
    <n v="120000"/>
    <n v="0"/>
    <s v="Partial High School"/>
    <x v="2"/>
    <x v="0"/>
    <x v="3"/>
    <s v="10+ Miles"/>
    <s v="Pacific"/>
    <x v="4"/>
    <x v="1"/>
  </r>
  <r>
    <n v="16200"/>
    <s v="S"/>
    <s v="F"/>
    <n v="10000"/>
    <n v="0"/>
    <s v="Partial High School"/>
    <x v="3"/>
    <x v="1"/>
    <x v="2"/>
    <s v="0-1 Miles"/>
    <s v="Europe"/>
    <x v="11"/>
    <x v="0"/>
  </r>
  <r>
    <n v="24857"/>
    <s v="M"/>
    <s v="F"/>
    <n v="130000"/>
    <n v="3"/>
    <s v="High School"/>
    <x v="2"/>
    <x v="0"/>
    <x v="3"/>
    <s v="0-1 Miles"/>
    <s v="Europe"/>
    <x v="31"/>
    <x v="0"/>
  </r>
  <r>
    <n v="26956"/>
    <s v="S"/>
    <s v="F"/>
    <n v="20000"/>
    <n v="0"/>
    <s v="Partial College"/>
    <x v="3"/>
    <x v="1"/>
    <x v="1"/>
    <s v="2-5 Miles"/>
    <s v="Europe"/>
    <x v="4"/>
    <x v="1"/>
  </r>
  <r>
    <n v="14517"/>
    <s v="M"/>
    <s v="F"/>
    <n v="20000"/>
    <n v="3"/>
    <s v="High School"/>
    <x v="0"/>
    <x v="1"/>
    <x v="2"/>
    <s v="1-2 Miles"/>
    <s v="Pacific"/>
    <x v="24"/>
    <x v="0"/>
  </r>
  <r>
    <n v="12678"/>
    <s v="S"/>
    <s v="F"/>
    <n v="130000"/>
    <n v="4"/>
    <s v="High School"/>
    <x v="4"/>
    <x v="0"/>
    <x v="3"/>
    <s v="0-1 Miles"/>
    <s v="Pacific"/>
    <x v="23"/>
    <x v="0"/>
  </r>
  <r>
    <n v="16188"/>
    <s v="S"/>
    <s v="F"/>
    <n v="20000"/>
    <n v="0"/>
    <s v="Partial High School"/>
    <x v="3"/>
    <x v="1"/>
    <x v="2"/>
    <s v="1-2 Miles"/>
    <s v="Europe"/>
    <x v="22"/>
    <x v="0"/>
  </r>
  <r>
    <n v="27969"/>
    <s v="M"/>
    <s v="M"/>
    <n v="80000"/>
    <n v="0"/>
    <s v="Bachelors"/>
    <x v="2"/>
    <x v="0"/>
    <x v="2"/>
    <s v="10+ Miles"/>
    <s v="Pacific"/>
    <x v="19"/>
    <x v="1"/>
  </r>
  <r>
    <n v="15752"/>
    <s v="M"/>
    <s v="M"/>
    <n v="80000"/>
    <n v="2"/>
    <s v="High School"/>
    <x v="0"/>
    <x v="1"/>
    <x v="2"/>
    <s v="1-2 Miles"/>
    <s v="Pacific"/>
    <x v="5"/>
    <x v="1"/>
  </r>
  <r>
    <n v="27745"/>
    <s v="S"/>
    <s v="M"/>
    <n v="40000"/>
    <n v="2"/>
    <s v="Bachelors"/>
    <x v="4"/>
    <x v="0"/>
    <x v="2"/>
    <s v="5-10 Miles"/>
    <s v="Pacific"/>
    <x v="18"/>
    <x v="1"/>
  </r>
  <r>
    <n v="20828"/>
    <s v="M"/>
    <s v="F"/>
    <n v="30000"/>
    <n v="4"/>
    <s v="Graduate Degree"/>
    <x v="1"/>
    <x v="0"/>
    <x v="0"/>
    <s v="0-1 Miles"/>
    <s v="Europe"/>
    <x v="12"/>
    <x v="1"/>
  </r>
  <r>
    <n v="19461"/>
    <s v="S"/>
    <s v="F"/>
    <n v="10000"/>
    <n v="4"/>
    <s v="Partial High School"/>
    <x v="3"/>
    <x v="0"/>
    <x v="2"/>
    <s v="0-1 Miles"/>
    <s v="Europe"/>
    <x v="8"/>
    <x v="0"/>
  </r>
  <r>
    <n v="26941"/>
    <s v="M"/>
    <s v="M"/>
    <n v="30000"/>
    <n v="0"/>
    <s v="Bachelors"/>
    <x v="1"/>
    <x v="0"/>
    <x v="0"/>
    <s v="0-1 Miles"/>
    <s v="Europe"/>
    <x v="15"/>
    <x v="1"/>
  </r>
  <r>
    <n v="28412"/>
    <s v="S"/>
    <s v="M"/>
    <n v="20000"/>
    <n v="0"/>
    <s v="High School"/>
    <x v="3"/>
    <x v="1"/>
    <x v="1"/>
    <s v="2-5 Miles"/>
    <s v="Europe"/>
    <x v="19"/>
    <x v="0"/>
  </r>
  <r>
    <n v="24485"/>
    <s v="S"/>
    <s v="M"/>
    <n v="40000"/>
    <n v="2"/>
    <s v="Bachelors"/>
    <x v="4"/>
    <x v="1"/>
    <x v="1"/>
    <s v="5-10 Miles"/>
    <s v="Pacific"/>
    <x v="31"/>
    <x v="1"/>
  </r>
  <r>
    <n v="16514"/>
    <s v="S"/>
    <s v="M"/>
    <n v="10000"/>
    <n v="0"/>
    <s v="Partial College"/>
    <x v="3"/>
    <x v="0"/>
    <x v="1"/>
    <s v="1-2 Miles"/>
    <s v="Pacific"/>
    <x v="22"/>
    <x v="1"/>
  </r>
  <r>
    <n v="17191"/>
    <s v="S"/>
    <s v="M"/>
    <n v="130000"/>
    <n v="3"/>
    <s v="Partial College"/>
    <x v="2"/>
    <x v="1"/>
    <x v="4"/>
    <s v="0-1 Miles"/>
    <s v="Europe"/>
    <x v="36"/>
    <x v="1"/>
  </r>
  <r>
    <n v="19608"/>
    <s v="M"/>
    <s v="M"/>
    <n v="80000"/>
    <n v="5"/>
    <s v="Bachelors"/>
    <x v="2"/>
    <x v="0"/>
    <x v="3"/>
    <s v="1-2 Miles"/>
    <s v="Pacific"/>
    <x v="8"/>
    <x v="0"/>
  </r>
  <r>
    <n v="24119"/>
    <s v="S"/>
    <s v="M"/>
    <n v="30000"/>
    <n v="0"/>
    <s v="Partial College"/>
    <x v="1"/>
    <x v="1"/>
    <x v="1"/>
    <s v="2-5 Miles"/>
    <s v="Europe"/>
    <x v="19"/>
    <x v="0"/>
  </r>
  <r>
    <n v="25458"/>
    <s v="M"/>
    <s v="M"/>
    <n v="20000"/>
    <n v="1"/>
    <s v="High School"/>
    <x v="3"/>
    <x v="1"/>
    <x v="1"/>
    <s v="1-2 Miles"/>
    <s v="Europe"/>
    <x v="8"/>
    <x v="1"/>
  </r>
  <r>
    <n v="26886"/>
    <s v="S"/>
    <s v="F"/>
    <n v="30000"/>
    <n v="0"/>
    <s v="Partial College"/>
    <x v="1"/>
    <x v="1"/>
    <x v="1"/>
    <s v="0-1 Miles"/>
    <s v="Europe"/>
    <x v="19"/>
    <x v="1"/>
  </r>
  <r>
    <n v="28436"/>
    <s v="S"/>
    <s v="M"/>
    <n v="30000"/>
    <n v="0"/>
    <s v="Partial College"/>
    <x v="1"/>
    <x v="1"/>
    <x v="1"/>
    <s v="0-1 Miles"/>
    <s v="Europe"/>
    <x v="25"/>
    <x v="1"/>
  </r>
  <r>
    <n v="19562"/>
    <s v="S"/>
    <s v="F"/>
    <n v="60000"/>
    <n v="2"/>
    <s v="Bachelors"/>
    <x v="2"/>
    <x v="0"/>
    <x v="1"/>
    <s v="2-5 Miles"/>
    <s v="Pacific"/>
    <x v="34"/>
    <x v="1"/>
  </r>
  <r>
    <n v="15608"/>
    <s v="S"/>
    <s v="F"/>
    <n v="30000"/>
    <n v="0"/>
    <s v="Partial College"/>
    <x v="1"/>
    <x v="1"/>
    <x v="1"/>
    <s v="2-5 Miles"/>
    <s v="Europe"/>
    <x v="6"/>
    <x v="0"/>
  </r>
  <r>
    <n v="16487"/>
    <s v="S"/>
    <s v="F"/>
    <n v="30000"/>
    <n v="3"/>
    <s v="High School"/>
    <x v="0"/>
    <x v="0"/>
    <x v="2"/>
    <s v="5-10 Miles"/>
    <s v="Pacific"/>
    <x v="10"/>
    <x v="0"/>
  </r>
  <r>
    <n v="17197"/>
    <s v="S"/>
    <s v="F"/>
    <n v="90000"/>
    <n v="5"/>
    <s v="Partial College"/>
    <x v="2"/>
    <x v="0"/>
    <x v="2"/>
    <s v="10+ Miles"/>
    <s v="Europe"/>
    <x v="24"/>
    <x v="0"/>
  </r>
  <r>
    <n v="12507"/>
    <s v="M"/>
    <s v="M"/>
    <n v="30000"/>
    <n v="1"/>
    <s v="Partial College"/>
    <x v="1"/>
    <x v="0"/>
    <x v="1"/>
    <s v="0-1 Miles"/>
    <s v="Europe"/>
    <x v="1"/>
    <x v="0"/>
  </r>
  <r>
    <n v="23940"/>
    <s v="M"/>
    <s v="M"/>
    <n v="40000"/>
    <n v="1"/>
    <s v="Bachelors"/>
    <x v="0"/>
    <x v="0"/>
    <x v="1"/>
    <s v="0-1 Miles"/>
    <s v="Europe"/>
    <x v="20"/>
    <x v="1"/>
  </r>
  <r>
    <n v="19441"/>
    <s v="M"/>
    <s v="M"/>
    <n v="40000"/>
    <n v="0"/>
    <s v="Graduate Degree"/>
    <x v="1"/>
    <x v="0"/>
    <x v="0"/>
    <s v="0-1 Miles"/>
    <s v="Europe"/>
    <x v="37"/>
    <x v="1"/>
  </r>
  <r>
    <n v="26852"/>
    <s v="M"/>
    <s v="F"/>
    <n v="20000"/>
    <n v="3"/>
    <s v="High School"/>
    <x v="3"/>
    <x v="0"/>
    <x v="2"/>
    <s v="0-1 Miles"/>
    <s v="Europe"/>
    <x v="1"/>
    <x v="0"/>
  </r>
  <r>
    <n v="12274"/>
    <s v="S"/>
    <s v="M"/>
    <n v="10000"/>
    <n v="2"/>
    <s v="High School"/>
    <x v="3"/>
    <x v="0"/>
    <x v="0"/>
    <s v="0-1 Miles"/>
    <s v="Europe"/>
    <x v="11"/>
    <x v="0"/>
  </r>
  <r>
    <n v="20236"/>
    <s v="S"/>
    <s v="M"/>
    <n v="60000"/>
    <n v="3"/>
    <s v="Bachelors"/>
    <x v="2"/>
    <x v="1"/>
    <x v="2"/>
    <s v="0-1 Miles"/>
    <s v="Pacific"/>
    <x v="1"/>
    <x v="1"/>
  </r>
  <r>
    <n v="24149"/>
    <s v="M"/>
    <s v="M"/>
    <n v="10000"/>
    <n v="2"/>
    <s v="Partial College"/>
    <x v="3"/>
    <x v="0"/>
    <x v="0"/>
    <s v="1-2 Miles"/>
    <s v="Europe"/>
    <x v="38"/>
    <x v="0"/>
  </r>
  <r>
    <n v="26139"/>
    <s v="S"/>
    <s v="M"/>
    <n v="60000"/>
    <n v="1"/>
    <s v="Partial College"/>
    <x v="0"/>
    <x v="0"/>
    <x v="1"/>
    <s v="5-10 Miles"/>
    <s v="Pacific"/>
    <x v="12"/>
    <x v="0"/>
  </r>
  <r>
    <n v="18491"/>
    <s v="S"/>
    <s v="F"/>
    <n v="70000"/>
    <n v="2"/>
    <s v="High School"/>
    <x v="2"/>
    <x v="0"/>
    <x v="2"/>
    <s v="5-10 Miles"/>
    <s v="Pacific"/>
    <x v="38"/>
    <x v="1"/>
  </r>
  <r>
    <n v="22707"/>
    <s v="S"/>
    <s v="F"/>
    <n v="30000"/>
    <n v="0"/>
    <s v="Partial College"/>
    <x v="1"/>
    <x v="1"/>
    <x v="1"/>
    <s v="2-5 Miles"/>
    <s v="Europe"/>
    <x v="25"/>
    <x v="0"/>
  </r>
  <r>
    <n v="20430"/>
    <s v="M"/>
    <s v="M"/>
    <n v="70000"/>
    <n v="2"/>
    <s v="Partial College"/>
    <x v="0"/>
    <x v="0"/>
    <x v="2"/>
    <s v="5-10 Miles"/>
    <s v="Pacific"/>
    <x v="31"/>
    <x v="1"/>
  </r>
  <r>
    <n v="27494"/>
    <s v="S"/>
    <s v="F"/>
    <n v="40000"/>
    <n v="2"/>
    <s v="Partial College"/>
    <x v="0"/>
    <x v="1"/>
    <x v="2"/>
    <s v="1-2 Miles"/>
    <s v="Pacific"/>
    <x v="39"/>
    <x v="1"/>
  </r>
  <r>
    <n v="26829"/>
    <s v="M"/>
    <s v="F"/>
    <n v="40000"/>
    <n v="0"/>
    <s v="Bachelors"/>
    <x v="1"/>
    <x v="0"/>
    <x v="0"/>
    <s v="0-1 Miles"/>
    <s v="Europe"/>
    <x v="13"/>
    <x v="1"/>
  </r>
  <r>
    <n v="28395"/>
    <s v="S"/>
    <s v="M"/>
    <n v="40000"/>
    <n v="0"/>
    <s v="Bachelors"/>
    <x v="2"/>
    <x v="1"/>
    <x v="0"/>
    <s v="0-1 Miles"/>
    <s v="Europe"/>
    <x v="32"/>
    <x v="1"/>
  </r>
  <r>
    <n v="21006"/>
    <s v="S"/>
    <s v="F"/>
    <n v="30000"/>
    <n v="1"/>
    <s v="Partial College"/>
    <x v="3"/>
    <x v="1"/>
    <x v="0"/>
    <s v="0-1 Miles"/>
    <s v="Europe"/>
    <x v="30"/>
    <x v="1"/>
  </r>
  <r>
    <n v="14682"/>
    <s v="S"/>
    <s v="F"/>
    <n v="70000"/>
    <n v="0"/>
    <s v="Bachelors"/>
    <x v="2"/>
    <x v="1"/>
    <x v="1"/>
    <s v="5-10 Miles"/>
    <s v="Pacific"/>
    <x v="13"/>
    <x v="0"/>
  </r>
  <r>
    <n v="17650"/>
    <s v="S"/>
    <s v="F"/>
    <n v="40000"/>
    <n v="2"/>
    <s v="Partial College"/>
    <x v="1"/>
    <x v="0"/>
    <x v="2"/>
    <s v="1-2 Miles"/>
    <s v="Europe"/>
    <x v="11"/>
    <x v="0"/>
  </r>
  <r>
    <n v="29191"/>
    <s v="S"/>
    <s v="F"/>
    <n v="130000"/>
    <n v="1"/>
    <s v="Graduate Degree"/>
    <x v="4"/>
    <x v="1"/>
    <x v="1"/>
    <s v="0-1 Miles"/>
    <s v="Pacific"/>
    <x v="4"/>
    <x v="1"/>
  </r>
  <r>
    <n v="15030"/>
    <s v="M"/>
    <s v="M"/>
    <n v="20000"/>
    <n v="0"/>
    <s v="Bachelors"/>
    <x v="1"/>
    <x v="0"/>
    <x v="0"/>
    <s v="0-1 Miles"/>
    <s v="Pacific"/>
    <x v="22"/>
    <x v="1"/>
  </r>
  <r>
    <n v="24140"/>
    <s v="S"/>
    <s v="M"/>
    <n v="10000"/>
    <n v="0"/>
    <s v="Graduate Degree"/>
    <x v="3"/>
    <x v="1"/>
    <x v="0"/>
    <s v="0-1 Miles"/>
    <s v="Europe"/>
    <x v="25"/>
    <x v="1"/>
  </r>
  <r>
    <n v="22496"/>
    <s v="M"/>
    <s v="F"/>
    <n v="30000"/>
    <n v="1"/>
    <s v="Bachelors"/>
    <x v="0"/>
    <x v="0"/>
    <x v="2"/>
    <s v="0-1 Miles"/>
    <s v="Europe"/>
    <x v="0"/>
    <x v="0"/>
  </r>
  <r>
    <n v="24065"/>
    <s v="S"/>
    <s v="F"/>
    <n v="20000"/>
    <n v="0"/>
    <s v="High School"/>
    <x v="3"/>
    <x v="0"/>
    <x v="0"/>
    <s v="0-1 Miles"/>
    <s v="Europe"/>
    <x v="8"/>
    <x v="1"/>
  </r>
  <r>
    <n v="19914"/>
    <s v="M"/>
    <s v="M"/>
    <n v="80000"/>
    <n v="5"/>
    <s v="Bachelors"/>
    <x v="4"/>
    <x v="0"/>
    <x v="2"/>
    <s v="2-5 Miles"/>
    <s v="Europe"/>
    <x v="24"/>
    <x v="0"/>
  </r>
  <r>
    <n v="12871"/>
    <s v="S"/>
    <s v="F"/>
    <n v="30000"/>
    <n v="0"/>
    <s v="Partial College"/>
    <x v="1"/>
    <x v="1"/>
    <x v="1"/>
    <s v="2-5 Miles"/>
    <s v="Europe"/>
    <x v="19"/>
    <x v="0"/>
  </r>
  <r>
    <n v="22988"/>
    <s v="M"/>
    <s v="F"/>
    <n v="40000"/>
    <n v="2"/>
    <s v="Bachelors"/>
    <x v="4"/>
    <x v="0"/>
    <x v="2"/>
    <s v="5-10 Miles"/>
    <s v="Pacific"/>
    <x v="29"/>
    <x v="1"/>
  </r>
  <r>
    <n v="15922"/>
    <s v="M"/>
    <s v="M"/>
    <n v="150000"/>
    <n v="2"/>
    <s v="High School"/>
    <x v="2"/>
    <x v="0"/>
    <x v="3"/>
    <s v="0-1 Miles"/>
    <s v="Europe"/>
    <x v="28"/>
    <x v="0"/>
  </r>
  <r>
    <n v="12344"/>
    <s v="S"/>
    <s v="F"/>
    <n v="80000"/>
    <n v="0"/>
    <s v="Bachelors"/>
    <x v="2"/>
    <x v="1"/>
    <x v="4"/>
    <s v="10+ Miles"/>
    <s v="Pacific"/>
    <x v="23"/>
    <x v="0"/>
  </r>
  <r>
    <n v="23627"/>
    <s v="S"/>
    <s v="F"/>
    <n v="100000"/>
    <n v="3"/>
    <s v="Partial College"/>
    <x v="4"/>
    <x v="1"/>
    <x v="3"/>
    <s v="5-10 Miles"/>
    <s v="Europe"/>
    <x v="16"/>
    <x v="0"/>
  </r>
  <r>
    <n v="27775"/>
    <s v="S"/>
    <s v="F"/>
    <n v="40000"/>
    <n v="0"/>
    <s v="Bachelors"/>
    <x v="1"/>
    <x v="1"/>
    <x v="0"/>
    <s v="0-1 Miles"/>
    <s v="Europe"/>
    <x v="13"/>
    <x v="1"/>
  </r>
  <r>
    <n v="29301"/>
    <s v="M"/>
    <s v="M"/>
    <n v="80000"/>
    <n v="5"/>
    <s v="Bachelors"/>
    <x v="2"/>
    <x v="0"/>
    <x v="3"/>
    <s v="1-2 Miles"/>
    <s v="Pacific"/>
    <x v="8"/>
    <x v="0"/>
  </r>
  <r>
    <n v="12716"/>
    <s v="S"/>
    <s v="M"/>
    <n v="30000"/>
    <n v="0"/>
    <s v="Partial College"/>
    <x v="1"/>
    <x v="0"/>
    <x v="1"/>
    <s v="2-5 Miles"/>
    <s v="Europe"/>
    <x v="21"/>
    <x v="0"/>
  </r>
  <r>
    <n v="12472"/>
    <s v="M"/>
    <s v="M"/>
    <n v="30000"/>
    <n v="1"/>
    <s v="Bachelors"/>
    <x v="1"/>
    <x v="0"/>
    <x v="1"/>
    <s v="2-5 Miles"/>
    <s v="Europe"/>
    <x v="32"/>
    <x v="0"/>
  </r>
  <r>
    <n v="20970"/>
    <s v="S"/>
    <s v="M"/>
    <n v="10000"/>
    <n v="2"/>
    <s v="Partial College"/>
    <x v="3"/>
    <x v="0"/>
    <x v="1"/>
    <s v="0-1 Miles"/>
    <s v="Europe"/>
    <x v="31"/>
    <x v="1"/>
  </r>
  <r>
    <n v="26818"/>
    <s v="S"/>
    <s v="M"/>
    <n v="10000"/>
    <n v="3"/>
    <s v="High School"/>
    <x v="3"/>
    <x v="0"/>
    <x v="1"/>
    <s v="0-1 Miles"/>
    <s v="Europe"/>
    <x v="32"/>
    <x v="1"/>
  </r>
  <r>
    <n v="12993"/>
    <s v="M"/>
    <s v="M"/>
    <n v="60000"/>
    <n v="2"/>
    <s v="Bachelors"/>
    <x v="2"/>
    <x v="0"/>
    <x v="1"/>
    <s v="2-5 Miles"/>
    <s v="Pacific"/>
    <x v="34"/>
    <x v="0"/>
  </r>
  <r>
    <n v="14192"/>
    <s v="M"/>
    <s v="M"/>
    <n v="90000"/>
    <n v="4"/>
    <s v="High School"/>
    <x v="4"/>
    <x v="0"/>
    <x v="4"/>
    <s v="5-10 Miles"/>
    <s v="Europe"/>
    <x v="16"/>
    <x v="1"/>
  </r>
  <r>
    <n v="19477"/>
    <s v="M"/>
    <s v="M"/>
    <n v="40000"/>
    <n v="0"/>
    <s v="Bachelors"/>
    <x v="2"/>
    <x v="0"/>
    <x v="0"/>
    <s v="0-1 Miles"/>
    <s v="Europe"/>
    <x v="8"/>
    <x v="1"/>
  </r>
  <r>
    <n v="26796"/>
    <s v="S"/>
    <s v="M"/>
    <n v="40000"/>
    <n v="2"/>
    <s v="Bachelors"/>
    <x v="4"/>
    <x v="0"/>
    <x v="2"/>
    <s v="5-10 Miles"/>
    <s v="Pacific"/>
    <x v="27"/>
    <x v="1"/>
  </r>
  <r>
    <n v="21094"/>
    <s v="S"/>
    <s v="F"/>
    <n v="30000"/>
    <n v="2"/>
    <s v="Partial College"/>
    <x v="1"/>
    <x v="0"/>
    <x v="2"/>
    <s v="0-1 Miles"/>
    <s v="Europe"/>
    <x v="0"/>
    <x v="0"/>
  </r>
  <r>
    <n v="12234"/>
    <s v="M"/>
    <s v="M"/>
    <n v="10000"/>
    <n v="2"/>
    <s v="Partial College"/>
    <x v="3"/>
    <x v="0"/>
    <x v="1"/>
    <s v="2-5 Miles"/>
    <s v="Europe"/>
    <x v="31"/>
    <x v="0"/>
  </r>
  <r>
    <n v="28683"/>
    <s v="S"/>
    <s v="F"/>
    <n v="10000"/>
    <n v="1"/>
    <s v="High School"/>
    <x v="3"/>
    <x v="1"/>
    <x v="1"/>
    <s v="5-10 Miles"/>
    <s v="Europe"/>
    <x v="11"/>
    <x v="1"/>
  </r>
  <r>
    <n v="17994"/>
    <s v="S"/>
    <s v="M"/>
    <n v="20000"/>
    <n v="2"/>
    <s v="High School"/>
    <x v="3"/>
    <x v="0"/>
    <x v="2"/>
    <s v="0-1 Miles"/>
    <s v="Europe"/>
    <x v="0"/>
    <x v="0"/>
  </r>
  <r>
    <n v="24273"/>
    <s v="M"/>
    <s v="F"/>
    <n v="20000"/>
    <n v="2"/>
    <s v="Partial High School"/>
    <x v="1"/>
    <x v="0"/>
    <x v="2"/>
    <s v="5-10 Miles"/>
    <s v="Pacific"/>
    <x v="10"/>
    <x v="1"/>
  </r>
  <r>
    <n v="26547"/>
    <s v="S"/>
    <s v="F"/>
    <n v="30000"/>
    <n v="2"/>
    <s v="Partial College"/>
    <x v="1"/>
    <x v="1"/>
    <x v="2"/>
    <s v="5-10 Miles"/>
    <s v="Pacific"/>
    <x v="2"/>
    <x v="1"/>
  </r>
  <r>
    <n v="22500"/>
    <s v="S"/>
    <s v="M"/>
    <n v="40000"/>
    <n v="0"/>
    <s v="Bachelors"/>
    <x v="2"/>
    <x v="1"/>
    <x v="0"/>
    <s v="0-1 Miles"/>
    <s v="Europe"/>
    <x v="8"/>
    <x v="1"/>
  </r>
  <r>
    <n v="23993"/>
    <s v="S"/>
    <s v="F"/>
    <n v="10000"/>
    <n v="0"/>
    <s v="Partial College"/>
    <x v="3"/>
    <x v="1"/>
    <x v="1"/>
    <s v="0-1 Miles"/>
    <s v="Pacific"/>
    <x v="22"/>
    <x v="1"/>
  </r>
  <r>
    <n v="14832"/>
    <s v="M"/>
    <s v="M"/>
    <n v="40000"/>
    <n v="1"/>
    <s v="Bachelors"/>
    <x v="0"/>
    <x v="0"/>
    <x v="0"/>
    <s v="0-1 Miles"/>
    <s v="Europe"/>
    <x v="0"/>
    <x v="1"/>
  </r>
  <r>
    <n v="16614"/>
    <s v="M"/>
    <s v="F"/>
    <n v="80000"/>
    <n v="0"/>
    <s v="Bachelors"/>
    <x v="2"/>
    <x v="0"/>
    <x v="4"/>
    <s v="10+ Miles"/>
    <s v="Pacific"/>
    <x v="21"/>
    <x v="0"/>
  </r>
  <r>
    <n v="20877"/>
    <s v="S"/>
    <s v="M"/>
    <n v="30000"/>
    <n v="1"/>
    <s v="Bachelors"/>
    <x v="1"/>
    <x v="0"/>
    <x v="0"/>
    <s v="1-2 Miles"/>
    <s v="Europe"/>
    <x v="34"/>
    <x v="1"/>
  </r>
  <r>
    <n v="20729"/>
    <s v="M"/>
    <s v="F"/>
    <n v="40000"/>
    <n v="2"/>
    <s v="Partial College"/>
    <x v="1"/>
    <x v="1"/>
    <x v="1"/>
    <s v="0-1 Miles"/>
    <s v="Europe"/>
    <x v="17"/>
    <x v="0"/>
  </r>
  <r>
    <n v="22464"/>
    <s v="M"/>
    <s v="M"/>
    <n v="40000"/>
    <n v="0"/>
    <s v="Graduate Degree"/>
    <x v="1"/>
    <x v="0"/>
    <x v="0"/>
    <s v="0-1 Miles"/>
    <s v="Europe"/>
    <x v="34"/>
    <x v="1"/>
  </r>
  <r>
    <n v="19475"/>
    <s v="M"/>
    <s v="F"/>
    <n v="40000"/>
    <n v="0"/>
    <s v="Bachelors"/>
    <x v="2"/>
    <x v="1"/>
    <x v="0"/>
    <s v="0-1 Miles"/>
    <s v="Europe"/>
    <x v="8"/>
    <x v="1"/>
  </r>
  <r>
    <n v="19675"/>
    <s v="M"/>
    <s v="M"/>
    <n v="20000"/>
    <n v="4"/>
    <s v="High School"/>
    <x v="0"/>
    <x v="0"/>
    <x v="2"/>
    <s v="5-10 Miles"/>
    <s v="Pacific"/>
    <x v="2"/>
    <x v="0"/>
  </r>
  <r>
    <n v="12728"/>
    <s v="S"/>
    <s v="M"/>
    <n v="30000"/>
    <n v="0"/>
    <s v="Partial College"/>
    <x v="1"/>
    <x v="1"/>
    <x v="1"/>
    <s v="1-2 Miles"/>
    <s v="Europe"/>
    <x v="40"/>
    <x v="0"/>
  </r>
  <r>
    <n v="26154"/>
    <s v="M"/>
    <s v="M"/>
    <n v="60000"/>
    <n v="1"/>
    <s v="Partial College"/>
    <x v="0"/>
    <x v="0"/>
    <x v="1"/>
    <s v="5-10 Miles"/>
    <s v="Pacific"/>
    <x v="1"/>
    <x v="1"/>
  </r>
  <r>
    <n v="29117"/>
    <s v="S"/>
    <s v="M"/>
    <n v="100000"/>
    <n v="1"/>
    <s v="Bachelors"/>
    <x v="4"/>
    <x v="1"/>
    <x v="4"/>
    <s v="0-1 Miles"/>
    <s v="Pacific"/>
    <x v="28"/>
    <x v="0"/>
  </r>
  <r>
    <n v="17845"/>
    <s v="S"/>
    <s v="F"/>
    <n v="20000"/>
    <n v="0"/>
    <s v="Partial High School"/>
    <x v="3"/>
    <x v="1"/>
    <x v="2"/>
    <s v="1-2 Miles"/>
    <s v="Europe"/>
    <x v="21"/>
    <x v="0"/>
  </r>
  <r>
    <n v="25058"/>
    <s v="M"/>
    <s v="M"/>
    <n v="100000"/>
    <n v="1"/>
    <s v="Bachelors"/>
    <x v="4"/>
    <x v="0"/>
    <x v="4"/>
    <s v="2-5 Miles"/>
    <s v="Pacific"/>
    <x v="15"/>
    <x v="0"/>
  </r>
  <r>
    <n v="23426"/>
    <s v="S"/>
    <s v="M"/>
    <n v="80000"/>
    <n v="5"/>
    <s v="Graduate Degree"/>
    <x v="4"/>
    <x v="0"/>
    <x v="4"/>
    <s v="0-1 Miles"/>
    <s v="Pacific"/>
    <x v="8"/>
    <x v="0"/>
  </r>
  <r>
    <n v="14798"/>
    <s v="S"/>
    <s v="F"/>
    <n v="10000"/>
    <n v="4"/>
    <s v="Partial High School"/>
    <x v="3"/>
    <x v="0"/>
    <x v="2"/>
    <s v="0-1 Miles"/>
    <s v="Europe"/>
    <x v="3"/>
    <x v="1"/>
  </r>
  <r>
    <n v="12664"/>
    <s v="M"/>
    <s v="F"/>
    <n v="130000"/>
    <n v="5"/>
    <s v="Partial College"/>
    <x v="2"/>
    <x v="0"/>
    <x v="3"/>
    <s v="0-1 Miles"/>
    <s v="Europe"/>
    <x v="14"/>
    <x v="0"/>
  </r>
  <r>
    <n v="23979"/>
    <s v="S"/>
    <s v="M"/>
    <n v="10000"/>
    <n v="2"/>
    <s v="Partial College"/>
    <x v="3"/>
    <x v="1"/>
    <x v="0"/>
    <s v="0-1 Miles"/>
    <s v="Europe"/>
    <x v="5"/>
    <x v="0"/>
  </r>
  <r>
    <n v="25605"/>
    <s v="S"/>
    <s v="F"/>
    <n v="20000"/>
    <n v="2"/>
    <s v="Partial College"/>
    <x v="3"/>
    <x v="1"/>
    <x v="1"/>
    <s v="0-1 Miles"/>
    <s v="Europe"/>
    <x v="9"/>
    <x v="1"/>
  </r>
  <r>
    <n v="20797"/>
    <s v="M"/>
    <s v="F"/>
    <n v="10000"/>
    <n v="1"/>
    <s v="Bachelors"/>
    <x v="3"/>
    <x v="0"/>
    <x v="0"/>
    <s v="0-1 Miles"/>
    <s v="Europe"/>
    <x v="28"/>
    <x v="0"/>
  </r>
  <r>
    <n v="21980"/>
    <s v="S"/>
    <s v="F"/>
    <n v="60000"/>
    <n v="1"/>
    <s v="Bachelors"/>
    <x v="2"/>
    <x v="0"/>
    <x v="1"/>
    <s v="5-10 Miles"/>
    <s v="Pacific"/>
    <x v="20"/>
    <x v="1"/>
  </r>
  <r>
    <n v="25460"/>
    <s v="M"/>
    <s v="F"/>
    <n v="20000"/>
    <n v="2"/>
    <s v="High School"/>
    <x v="3"/>
    <x v="0"/>
    <x v="0"/>
    <s v="0-1 Miles"/>
    <s v="Europe"/>
    <x v="8"/>
    <x v="1"/>
  </r>
  <r>
    <n v="29181"/>
    <s v="S"/>
    <s v="F"/>
    <n v="60000"/>
    <n v="2"/>
    <s v="Bachelors"/>
    <x v="2"/>
    <x v="1"/>
    <x v="1"/>
    <s v="0-1 Miles"/>
    <s v="Pacific"/>
    <x v="13"/>
    <x v="1"/>
  </r>
  <r>
    <n v="24279"/>
    <s v="S"/>
    <s v="M"/>
    <n v="40000"/>
    <n v="2"/>
    <s v="Partial College"/>
    <x v="0"/>
    <x v="1"/>
    <x v="2"/>
    <s v="1-2 Miles"/>
    <s v="Pacific"/>
    <x v="31"/>
    <x v="0"/>
  </r>
  <r>
    <n v="22402"/>
    <s v="M"/>
    <s v="M"/>
    <n v="10000"/>
    <n v="0"/>
    <s v="Partial College"/>
    <x v="3"/>
    <x v="0"/>
    <x v="1"/>
    <s v="2-5 Miles"/>
    <s v="Pacific"/>
    <x v="37"/>
    <x v="1"/>
  </r>
  <r>
    <n v="15465"/>
    <s v="M"/>
    <s v="F"/>
    <n v="10000"/>
    <n v="0"/>
    <s v="Partial College"/>
    <x v="3"/>
    <x v="1"/>
    <x v="1"/>
    <s v="0-1 Miles"/>
    <s v="Pacific"/>
    <x v="37"/>
    <x v="0"/>
  </r>
  <r>
    <n v="26757"/>
    <s v="S"/>
    <s v="M"/>
    <n v="90000"/>
    <n v="1"/>
    <s v="Bachelors"/>
    <x v="2"/>
    <x v="0"/>
    <x v="1"/>
    <s v="2-5 Miles"/>
    <s v="Pacific"/>
    <x v="15"/>
    <x v="1"/>
  </r>
  <r>
    <n v="14233"/>
    <s v="S"/>
    <s v="M"/>
    <n v="100000"/>
    <n v="0"/>
    <s v="High School"/>
    <x v="4"/>
    <x v="0"/>
    <x v="4"/>
    <s v="10+ Miles"/>
    <s v="Pacific"/>
    <x v="11"/>
    <x v="0"/>
  </r>
  <r>
    <n v="14058"/>
    <s v="S"/>
    <s v="M"/>
    <n v="70000"/>
    <n v="0"/>
    <s v="Bachelors"/>
    <x v="2"/>
    <x v="1"/>
    <x v="1"/>
    <s v="5-10 Miles"/>
    <s v="Pacific"/>
    <x v="3"/>
    <x v="1"/>
  </r>
  <r>
    <n v="12273"/>
    <s v="M"/>
    <s v="M"/>
    <n v="30000"/>
    <n v="1"/>
    <s v="Bachelors"/>
    <x v="1"/>
    <x v="0"/>
    <x v="0"/>
    <s v="0-1 Miles"/>
    <s v="Europe"/>
    <x v="15"/>
    <x v="0"/>
  </r>
  <r>
    <n v="17203"/>
    <s v="M"/>
    <s v="F"/>
    <n v="130000"/>
    <n v="4"/>
    <s v="Partial College"/>
    <x v="2"/>
    <x v="0"/>
    <x v="3"/>
    <s v="5-10 Miles"/>
    <s v="Europe"/>
    <x v="33"/>
    <x v="1"/>
  </r>
  <r>
    <n v="18144"/>
    <s v="M"/>
    <s v="F"/>
    <n v="80000"/>
    <n v="5"/>
    <s v="Bachelors"/>
    <x v="4"/>
    <x v="0"/>
    <x v="2"/>
    <s v="2-5 Miles"/>
    <s v="Europe"/>
    <x v="33"/>
    <x v="0"/>
  </r>
  <r>
    <n v="23963"/>
    <s v="M"/>
    <s v="M"/>
    <n v="10000"/>
    <n v="0"/>
    <s v="Partial High School"/>
    <x v="3"/>
    <x v="1"/>
    <x v="2"/>
    <s v="0-1 Miles"/>
    <s v="Europe"/>
    <x v="6"/>
    <x v="0"/>
  </r>
  <r>
    <n v="17907"/>
    <s v="M"/>
    <s v="F"/>
    <n v="10000"/>
    <n v="0"/>
    <s v="Partial College"/>
    <x v="3"/>
    <x v="0"/>
    <x v="1"/>
    <s v="2-5 Miles"/>
    <s v="Pacific"/>
    <x v="40"/>
    <x v="0"/>
  </r>
  <r>
    <n v="19442"/>
    <s v="S"/>
    <s v="M"/>
    <n v="50000"/>
    <n v="0"/>
    <s v="Graduate Degree"/>
    <x v="0"/>
    <x v="0"/>
    <x v="0"/>
    <s v="0-1 Miles"/>
    <s v="Europe"/>
    <x v="34"/>
    <x v="1"/>
  </r>
  <r>
    <n v="17504"/>
    <s v="S"/>
    <s v="F"/>
    <n v="80000"/>
    <n v="2"/>
    <s v="Partial College"/>
    <x v="0"/>
    <x v="0"/>
    <x v="2"/>
    <s v="5-10 Miles"/>
    <s v="Pacific"/>
    <x v="31"/>
    <x v="1"/>
  </r>
  <r>
    <n v="12253"/>
    <s v="S"/>
    <s v="F"/>
    <n v="20000"/>
    <n v="0"/>
    <s v="Partial College"/>
    <x v="3"/>
    <x v="0"/>
    <x v="0"/>
    <s v="0-1 Miles"/>
    <s v="Pacific"/>
    <x v="19"/>
    <x v="1"/>
  </r>
  <r>
    <n v="27304"/>
    <s v="S"/>
    <s v="F"/>
    <n v="110000"/>
    <n v="2"/>
    <s v="Partial College"/>
    <x v="2"/>
    <x v="1"/>
    <x v="4"/>
    <s v="5-10 Miles"/>
    <s v="Europe"/>
    <x v="28"/>
    <x v="0"/>
  </r>
  <r>
    <n v="14191"/>
    <s v="M"/>
    <s v="M"/>
    <n v="160000"/>
    <n v="4"/>
    <s v="Partial College"/>
    <x v="2"/>
    <x v="1"/>
    <x v="2"/>
    <s v="10+ Miles"/>
    <s v="Europe"/>
    <x v="10"/>
    <x v="1"/>
  </r>
  <r>
    <n v="12212"/>
    <s v="M"/>
    <s v="F"/>
    <n v="10000"/>
    <n v="0"/>
    <s v="Graduate Degree"/>
    <x v="3"/>
    <x v="0"/>
    <x v="0"/>
    <s v="0-1 Miles"/>
    <s v="Europe"/>
    <x v="34"/>
    <x v="1"/>
  </r>
  <r>
    <n v="25529"/>
    <s v="S"/>
    <s v="M"/>
    <n v="10000"/>
    <n v="1"/>
    <s v="Graduate Degree"/>
    <x v="3"/>
    <x v="0"/>
    <x v="0"/>
    <s v="0-1 Miles"/>
    <s v="Europe"/>
    <x v="20"/>
    <x v="0"/>
  </r>
  <r>
    <n v="22170"/>
    <s v="M"/>
    <s v="F"/>
    <n v="30000"/>
    <n v="3"/>
    <s v="Partial College"/>
    <x v="1"/>
    <x v="1"/>
    <x v="2"/>
    <s v="1-2 Miles"/>
    <s v="Pacific"/>
    <x v="10"/>
    <x v="1"/>
  </r>
  <r>
    <n v="19445"/>
    <s v="M"/>
    <s v="F"/>
    <n v="10000"/>
    <n v="2"/>
    <s v="High School"/>
    <x v="3"/>
    <x v="1"/>
    <x v="1"/>
    <s v="0-1 Miles"/>
    <s v="Europe"/>
    <x v="13"/>
    <x v="0"/>
  </r>
  <r>
    <n v="15265"/>
    <s v="S"/>
    <s v="M"/>
    <n v="40000"/>
    <n v="2"/>
    <s v="Bachelors"/>
    <x v="4"/>
    <x v="0"/>
    <x v="2"/>
    <s v="5-10 Miles"/>
    <s v="Pacific"/>
    <x v="29"/>
    <x v="1"/>
  </r>
  <r>
    <n v="28918"/>
    <s v="M"/>
    <s v="F"/>
    <n v="130000"/>
    <n v="4"/>
    <s v="High School"/>
    <x v="4"/>
    <x v="1"/>
    <x v="3"/>
    <s v="10+ Miles"/>
    <s v="Europe"/>
    <x v="7"/>
    <x v="0"/>
  </r>
  <r>
    <n v="15799"/>
    <s v="M"/>
    <s v="F"/>
    <n v="90000"/>
    <n v="1"/>
    <s v="Bachelors"/>
    <x v="2"/>
    <x v="0"/>
    <x v="1"/>
    <s v="2-5 Miles"/>
    <s v="Pacific"/>
    <x v="15"/>
    <x v="1"/>
  </r>
  <r>
    <n v="11047"/>
    <s v="M"/>
    <s v="F"/>
    <n v="30000"/>
    <n v="3"/>
    <s v="High School"/>
    <x v="0"/>
    <x v="1"/>
    <x v="2"/>
    <s v="1-2 Miles"/>
    <s v="Pacific"/>
    <x v="16"/>
    <x v="1"/>
  </r>
  <r>
    <n v="18151"/>
    <s v="S"/>
    <s v="M"/>
    <n v="80000"/>
    <n v="5"/>
    <s v="Partial College"/>
    <x v="2"/>
    <x v="1"/>
    <x v="2"/>
    <s v="10+ Miles"/>
    <s v="Europe"/>
    <x v="14"/>
    <x v="0"/>
  </r>
  <r>
    <n v="20606"/>
    <s v="M"/>
    <s v="F"/>
    <n v="70000"/>
    <n v="0"/>
    <s v="Bachelors"/>
    <x v="2"/>
    <x v="0"/>
    <x v="3"/>
    <s v="10+ Miles"/>
    <s v="Pacific"/>
    <x v="21"/>
    <x v="1"/>
  </r>
  <r>
    <n v="19482"/>
    <s v="M"/>
    <s v="M"/>
    <n v="30000"/>
    <n v="1"/>
    <s v="Partial College"/>
    <x v="1"/>
    <x v="0"/>
    <x v="1"/>
    <s v="0-1 Miles"/>
    <s v="Europe"/>
    <x v="20"/>
    <x v="1"/>
  </r>
  <r>
    <n v="16489"/>
    <s v="M"/>
    <s v="M"/>
    <n v="30000"/>
    <n v="3"/>
    <s v="High School"/>
    <x v="0"/>
    <x v="0"/>
    <x v="2"/>
    <s v="5-10 Miles"/>
    <s v="Pacific"/>
    <x v="10"/>
    <x v="0"/>
  </r>
  <r>
    <n v="26944"/>
    <s v="S"/>
    <s v="M"/>
    <n v="90000"/>
    <n v="2"/>
    <s v="High School"/>
    <x v="3"/>
    <x v="0"/>
    <x v="0"/>
    <s v="0-1 Miles"/>
    <s v="Europe"/>
    <x v="4"/>
    <x v="1"/>
  </r>
  <r>
    <n v="15682"/>
    <s v="S"/>
    <s v="F"/>
    <n v="80000"/>
    <n v="5"/>
    <s v="Bachelors"/>
    <x v="4"/>
    <x v="0"/>
    <x v="2"/>
    <s v="10+ Miles"/>
    <s v="Europe"/>
    <x v="24"/>
    <x v="0"/>
  </r>
  <r>
    <n v="26032"/>
    <s v="M"/>
    <s v="F"/>
    <n v="70000"/>
    <n v="5"/>
    <s v="Bachelors"/>
    <x v="2"/>
    <x v="0"/>
    <x v="3"/>
    <s v="10+ Miles"/>
    <s v="Pacific"/>
    <x v="3"/>
    <x v="0"/>
  </r>
  <r>
    <n v="17843"/>
    <s v="S"/>
    <s v="F"/>
    <n v="10000"/>
    <n v="0"/>
    <s v="Partial High School"/>
    <x v="3"/>
    <x v="1"/>
    <x v="2"/>
    <s v="0-1 Miles"/>
    <s v="Europe"/>
    <x v="21"/>
    <x v="0"/>
  </r>
  <r>
    <n v="25559"/>
    <s v="S"/>
    <s v="M"/>
    <n v="20000"/>
    <n v="0"/>
    <s v="Bachelors"/>
    <x v="1"/>
    <x v="0"/>
    <x v="0"/>
    <s v="0-1 Miles"/>
    <s v="Pacific"/>
    <x v="37"/>
    <x v="1"/>
  </r>
  <r>
    <n v="16209"/>
    <s v="S"/>
    <s v="F"/>
    <n v="50000"/>
    <n v="0"/>
    <s v="Graduate Degree"/>
    <x v="0"/>
    <x v="0"/>
    <x v="0"/>
    <s v="1-2 Miles"/>
    <s v="Europe"/>
    <x v="4"/>
    <x v="0"/>
  </r>
  <r>
    <n v="11147"/>
    <s v="M"/>
    <s v="M"/>
    <n v="60000"/>
    <n v="2"/>
    <s v="Graduate Degree"/>
    <x v="4"/>
    <x v="0"/>
    <x v="1"/>
    <s v="0-1 Miles"/>
    <s v="Pacific"/>
    <x v="41"/>
    <x v="1"/>
  </r>
  <r>
    <n v="15214"/>
    <s v="S"/>
    <s v="F"/>
    <n v="100000"/>
    <n v="0"/>
    <s v="Graduate Degree"/>
    <x v="4"/>
    <x v="1"/>
    <x v="1"/>
    <s v="1-2 Miles"/>
    <s v="Pacific"/>
    <x v="32"/>
    <x v="1"/>
  </r>
  <r>
    <n v="11453"/>
    <s v="S"/>
    <s v="M"/>
    <n v="80000"/>
    <n v="0"/>
    <s v="Bachelors"/>
    <x v="2"/>
    <x v="1"/>
    <x v="4"/>
    <s v="10+ Miles"/>
    <s v="Pacific"/>
    <x v="6"/>
    <x v="1"/>
  </r>
  <r>
    <n v="24584"/>
    <s v="S"/>
    <s v="M"/>
    <n v="60000"/>
    <n v="0"/>
    <s v="Bachelors"/>
    <x v="2"/>
    <x v="1"/>
    <x v="4"/>
    <s v="2-5 Miles"/>
    <s v="Pacific"/>
    <x v="23"/>
    <x v="0"/>
  </r>
  <r>
    <n v="12585"/>
    <s v="M"/>
    <s v="M"/>
    <n v="10000"/>
    <n v="1"/>
    <s v="High School"/>
    <x v="3"/>
    <x v="0"/>
    <x v="0"/>
    <s v="2-5 Miles"/>
    <s v="Pacific"/>
    <x v="40"/>
    <x v="1"/>
  </r>
  <r>
    <n v="18626"/>
    <s v="S"/>
    <s v="M"/>
    <n v="40000"/>
    <n v="2"/>
    <s v="Partial College"/>
    <x v="1"/>
    <x v="0"/>
    <x v="0"/>
    <s v="1-2 Miles"/>
    <s v="Europe"/>
    <x v="6"/>
    <x v="1"/>
  </r>
  <r>
    <n v="29298"/>
    <s v="S"/>
    <s v="F"/>
    <n v="60000"/>
    <n v="1"/>
    <s v="Partial College"/>
    <x v="0"/>
    <x v="0"/>
    <x v="1"/>
    <s v="5-10 Miles"/>
    <s v="Pacific"/>
    <x v="30"/>
    <x v="1"/>
  </r>
  <r>
    <n v="24842"/>
    <s v="S"/>
    <s v="F"/>
    <n v="90000"/>
    <n v="3"/>
    <s v="High School"/>
    <x v="2"/>
    <x v="1"/>
    <x v="1"/>
    <s v="2-5 Miles"/>
    <s v="Europe"/>
    <x v="36"/>
    <x v="0"/>
  </r>
  <r>
    <n v="15657"/>
    <s v="M"/>
    <s v="M"/>
    <n v="30000"/>
    <n v="3"/>
    <s v="Graduate Degree"/>
    <x v="1"/>
    <x v="0"/>
    <x v="0"/>
    <s v="0-1 Miles"/>
    <s v="Europe"/>
    <x v="30"/>
    <x v="1"/>
  </r>
  <r>
    <n v="11415"/>
    <s v="S"/>
    <s v="M"/>
    <n v="90000"/>
    <n v="5"/>
    <s v="Partial College"/>
    <x v="2"/>
    <x v="1"/>
    <x v="2"/>
    <s v="10+ Miles"/>
    <s v="Europe"/>
    <x v="24"/>
    <x v="0"/>
  </r>
  <r>
    <n v="28729"/>
    <s v="S"/>
    <s v="F"/>
    <n v="20000"/>
    <n v="0"/>
    <s v="Partial High School"/>
    <x v="3"/>
    <x v="0"/>
    <x v="2"/>
    <s v="1-2 Miles"/>
    <s v="Europe"/>
    <x v="22"/>
    <x v="1"/>
  </r>
  <r>
    <n v="22633"/>
    <s v="S"/>
    <s v="F"/>
    <n v="40000"/>
    <n v="0"/>
    <s v="Graduate Degree"/>
    <x v="1"/>
    <x v="0"/>
    <x v="0"/>
    <s v="0-1 Miles"/>
    <s v="Europe"/>
    <x v="34"/>
    <x v="1"/>
  </r>
  <r>
    <n v="25649"/>
    <s v="S"/>
    <s v="F"/>
    <n v="30000"/>
    <n v="3"/>
    <s v="Partial College"/>
    <x v="1"/>
    <x v="0"/>
    <x v="0"/>
    <s v="0-1 Miles"/>
    <s v="Europe"/>
    <x v="0"/>
    <x v="1"/>
  </r>
  <r>
    <n v="14669"/>
    <s v="M"/>
    <s v="F"/>
    <n v="80000"/>
    <n v="4"/>
    <s v="Graduate Degree"/>
    <x v="4"/>
    <x v="0"/>
    <x v="1"/>
    <s v="0-1 Miles"/>
    <s v="Pacific"/>
    <x v="4"/>
    <x v="0"/>
  </r>
  <r>
    <n v="19299"/>
    <s v="M"/>
    <s v="F"/>
    <n v="50000"/>
    <n v="0"/>
    <s v="Graduate Degree"/>
    <x v="0"/>
    <x v="0"/>
    <x v="0"/>
    <s v="0-1 Miles"/>
    <s v="Europe"/>
    <x v="4"/>
    <x v="1"/>
  </r>
  <r>
    <n v="20946"/>
    <s v="S"/>
    <s v="F"/>
    <n v="30000"/>
    <n v="0"/>
    <s v="Partial College"/>
    <x v="1"/>
    <x v="1"/>
    <x v="1"/>
    <s v="2-5 Miles"/>
    <s v="Europe"/>
    <x v="25"/>
    <x v="0"/>
  </r>
  <r>
    <n v="11451"/>
    <s v="S"/>
    <s v="M"/>
    <n v="70000"/>
    <n v="0"/>
    <s v="Bachelors"/>
    <x v="2"/>
    <x v="1"/>
    <x v="3"/>
    <s v="10+ Miles"/>
    <s v="Pacific"/>
    <x v="23"/>
    <x v="1"/>
  </r>
  <r>
    <n v="25553"/>
    <s v="M"/>
    <s v="M"/>
    <n v="30000"/>
    <n v="1"/>
    <s v="Bachelors"/>
    <x v="1"/>
    <x v="0"/>
    <x v="0"/>
    <s v="0-1 Miles"/>
    <s v="Europe"/>
    <x v="27"/>
    <x v="1"/>
  </r>
  <r>
    <n v="27951"/>
    <s v="S"/>
    <s v="M"/>
    <n v="80000"/>
    <n v="4"/>
    <s v="Partial College"/>
    <x v="2"/>
    <x v="1"/>
    <x v="2"/>
    <s v="2-5 Miles"/>
    <s v="Europe"/>
    <x v="9"/>
    <x v="1"/>
  </r>
  <r>
    <n v="25026"/>
    <s v="M"/>
    <s v="M"/>
    <n v="20000"/>
    <n v="2"/>
    <s v="Partial High School"/>
    <x v="1"/>
    <x v="0"/>
    <x v="4"/>
    <s v="5-10 Miles"/>
    <s v="Pacific"/>
    <x v="9"/>
    <x v="0"/>
  </r>
  <r>
    <n v="13673"/>
    <s v="S"/>
    <s v="F"/>
    <n v="20000"/>
    <n v="0"/>
    <s v="Partial High School"/>
    <x v="3"/>
    <x v="1"/>
    <x v="2"/>
    <s v="0-1 Miles"/>
    <s v="Europe"/>
    <x v="37"/>
    <x v="0"/>
  </r>
  <r>
    <n v="16043"/>
    <s v="S"/>
    <s v="M"/>
    <n v="10000"/>
    <n v="1"/>
    <s v="Bachelors"/>
    <x v="3"/>
    <x v="0"/>
    <x v="0"/>
    <s v="0-1 Miles"/>
    <s v="Europe"/>
    <x v="28"/>
    <x v="0"/>
  </r>
  <r>
    <n v="22399"/>
    <s v="S"/>
    <s v="M"/>
    <n v="10000"/>
    <n v="0"/>
    <s v="Partial College"/>
    <x v="3"/>
    <x v="0"/>
    <x v="1"/>
    <s v="1-2 Miles"/>
    <s v="Pacific"/>
    <x v="22"/>
    <x v="1"/>
  </r>
  <r>
    <n v="27696"/>
    <s v="M"/>
    <s v="M"/>
    <n v="60000"/>
    <n v="1"/>
    <s v="Bachelors"/>
    <x v="2"/>
    <x v="0"/>
    <x v="1"/>
    <s v="5-10 Miles"/>
    <s v="Pacific"/>
    <x v="1"/>
    <x v="1"/>
  </r>
  <r>
    <n v="25313"/>
    <s v="S"/>
    <s v="M"/>
    <n v="10000"/>
    <n v="0"/>
    <s v="Partial High School"/>
    <x v="3"/>
    <x v="1"/>
    <x v="2"/>
    <s v="1-2 Miles"/>
    <s v="Europe"/>
    <x v="11"/>
    <x v="0"/>
  </r>
  <r>
    <n v="13813"/>
    <s v="M"/>
    <s v="F"/>
    <n v="30000"/>
    <n v="3"/>
    <s v="Partial College"/>
    <x v="1"/>
    <x v="1"/>
    <x v="0"/>
    <s v="0-1 Miles"/>
    <s v="Europe"/>
    <x v="0"/>
    <x v="0"/>
  </r>
  <r>
    <n v="18711"/>
    <s v="S"/>
    <s v="F"/>
    <n v="70000"/>
    <n v="5"/>
    <s v="Bachelors"/>
    <x v="2"/>
    <x v="0"/>
    <x v="3"/>
    <s v="10+ Miles"/>
    <s v="Pacific"/>
    <x v="32"/>
    <x v="0"/>
  </r>
  <r>
    <n v="19650"/>
    <s v="M"/>
    <s v="F"/>
    <n v="30000"/>
    <n v="2"/>
    <s v="Partial College"/>
    <x v="1"/>
    <x v="1"/>
    <x v="2"/>
    <s v="0-1 Miles"/>
    <s v="Pacific"/>
    <x v="41"/>
    <x v="0"/>
  </r>
  <r>
    <n v="14135"/>
    <s v="M"/>
    <s v="M"/>
    <n v="20000"/>
    <n v="1"/>
    <s v="Partial College"/>
    <x v="3"/>
    <x v="0"/>
    <x v="0"/>
    <s v="1-2 Miles"/>
    <s v="Europe"/>
    <x v="11"/>
    <x v="0"/>
  </r>
  <r>
    <n v="12833"/>
    <s v="S"/>
    <s v="F"/>
    <n v="20000"/>
    <n v="3"/>
    <s v="High School"/>
    <x v="3"/>
    <x v="0"/>
    <x v="1"/>
    <s v="0-1 Miles"/>
    <s v="Europe"/>
    <x v="0"/>
    <x v="1"/>
  </r>
  <r>
    <n v="26849"/>
    <s v="M"/>
    <s v="M"/>
    <n v="10000"/>
    <n v="3"/>
    <s v="Partial High School"/>
    <x v="3"/>
    <x v="0"/>
    <x v="2"/>
    <s v="0-1 Miles"/>
    <s v="Europe"/>
    <x v="1"/>
    <x v="0"/>
  </r>
  <r>
    <n v="20962"/>
    <s v="M"/>
    <s v="F"/>
    <n v="20000"/>
    <n v="1"/>
    <s v="Graduate Degree"/>
    <x v="1"/>
    <x v="0"/>
    <x v="0"/>
    <s v="0-1 Miles"/>
    <s v="Europe"/>
    <x v="12"/>
    <x v="0"/>
  </r>
  <r>
    <n v="28915"/>
    <s v="S"/>
    <s v="M"/>
    <n v="80000"/>
    <n v="5"/>
    <s v="High School"/>
    <x v="4"/>
    <x v="0"/>
    <x v="4"/>
    <s v="10+ Miles"/>
    <s v="Europe"/>
    <x v="42"/>
    <x v="0"/>
  </r>
  <r>
    <n v="22830"/>
    <s v="M"/>
    <s v="M"/>
    <n v="120000"/>
    <n v="4"/>
    <s v="Partial College"/>
    <x v="4"/>
    <x v="0"/>
    <x v="4"/>
    <s v="10+ Miles"/>
    <s v="Europe"/>
    <x v="16"/>
    <x v="0"/>
  </r>
  <r>
    <n v="14777"/>
    <s v="M"/>
    <s v="F"/>
    <n v="40000"/>
    <n v="0"/>
    <s v="Bachelors"/>
    <x v="1"/>
    <x v="0"/>
    <x v="0"/>
    <s v="0-1 Miles"/>
    <s v="Europe"/>
    <x v="13"/>
    <x v="1"/>
  </r>
  <r>
    <n v="12591"/>
    <s v="M"/>
    <s v="F"/>
    <n v="30000"/>
    <n v="4"/>
    <s v="Graduate Degree"/>
    <x v="1"/>
    <x v="0"/>
    <x v="0"/>
    <s v="0-1 Miles"/>
    <s v="Europe"/>
    <x v="12"/>
    <x v="0"/>
  </r>
  <r>
    <n v="24174"/>
    <s v="M"/>
    <s v="M"/>
    <n v="20000"/>
    <n v="0"/>
    <s v="Bachelors"/>
    <x v="1"/>
    <x v="0"/>
    <x v="0"/>
    <s v="0-1 Miles"/>
    <s v="Pacific"/>
    <x v="40"/>
    <x v="1"/>
  </r>
  <r>
    <n v="24611"/>
    <s v="S"/>
    <s v="M"/>
    <n v="90000"/>
    <n v="0"/>
    <s v="Bachelors"/>
    <x v="2"/>
    <x v="1"/>
    <x v="3"/>
    <s v="10+ Miles"/>
    <s v="Pacific"/>
    <x v="11"/>
    <x v="1"/>
  </r>
  <r>
    <n v="11340"/>
    <s v="M"/>
    <s v="F"/>
    <n v="10000"/>
    <n v="1"/>
    <s v="Graduate Degree"/>
    <x v="1"/>
    <x v="0"/>
    <x v="0"/>
    <s v="0-1 Miles"/>
    <s v="Europe"/>
    <x v="43"/>
    <x v="1"/>
  </r>
  <r>
    <n v="25693"/>
    <s v="S"/>
    <s v="F"/>
    <n v="30000"/>
    <n v="5"/>
    <s v="Graduate Degree"/>
    <x v="1"/>
    <x v="0"/>
    <x v="0"/>
    <s v="0-1 Miles"/>
    <s v="Europe"/>
    <x v="20"/>
    <x v="1"/>
  </r>
  <r>
    <n v="25555"/>
    <s v="M"/>
    <s v="F"/>
    <n v="10000"/>
    <n v="0"/>
    <s v="Partial College"/>
    <x v="3"/>
    <x v="1"/>
    <x v="1"/>
    <s v="0-1 Miles"/>
    <s v="Pacific"/>
    <x v="22"/>
    <x v="1"/>
  </r>
  <r>
    <n v="22006"/>
    <s v="M"/>
    <s v="M"/>
    <n v="70000"/>
    <n v="5"/>
    <s v="Partial College"/>
    <x v="0"/>
    <x v="0"/>
    <x v="4"/>
    <s v="5-10 Miles"/>
    <s v="Pacific"/>
    <x v="30"/>
    <x v="0"/>
  </r>
  <r>
    <n v="20060"/>
    <s v="S"/>
    <s v="F"/>
    <n v="30000"/>
    <n v="0"/>
    <s v="High School"/>
    <x v="3"/>
    <x v="1"/>
    <x v="1"/>
    <s v="2-5 Miles"/>
    <s v="Europe"/>
    <x v="17"/>
    <x v="1"/>
  </r>
  <r>
    <n v="17702"/>
    <s v="M"/>
    <s v="M"/>
    <n v="10000"/>
    <n v="1"/>
    <s v="Graduate Degree"/>
    <x v="3"/>
    <x v="0"/>
    <x v="0"/>
    <s v="0-1 Miles"/>
    <s v="Europe"/>
    <x v="34"/>
    <x v="0"/>
  </r>
  <r>
    <n v="12503"/>
    <s v="S"/>
    <s v="F"/>
    <n v="30000"/>
    <n v="3"/>
    <s v="Partial College"/>
    <x v="1"/>
    <x v="0"/>
    <x v="2"/>
    <s v="0-1 Miles"/>
    <s v="Europe"/>
    <x v="40"/>
    <x v="0"/>
  </r>
  <r>
    <n v="23908"/>
    <s v="S"/>
    <s v="M"/>
    <n v="30000"/>
    <n v="1"/>
    <s v="Bachelors"/>
    <x v="1"/>
    <x v="1"/>
    <x v="1"/>
    <s v="0-1 Miles"/>
    <s v="Europe"/>
    <x v="32"/>
    <x v="1"/>
  </r>
  <r>
    <n v="22527"/>
    <s v="S"/>
    <s v="F"/>
    <n v="20000"/>
    <n v="0"/>
    <s v="High School"/>
    <x v="3"/>
    <x v="1"/>
    <x v="1"/>
    <s v="2-5 Miles"/>
    <s v="Europe"/>
    <x v="19"/>
    <x v="0"/>
  </r>
  <r>
    <n v="19057"/>
    <s v="M"/>
    <s v="F"/>
    <n v="120000"/>
    <n v="3"/>
    <s v="Bachelors"/>
    <x v="4"/>
    <x v="1"/>
    <x v="2"/>
    <s v="10+ Miles"/>
    <s v="Europe"/>
    <x v="31"/>
    <x v="1"/>
  </r>
  <r>
    <n v="18494"/>
    <s v="M"/>
    <s v="M"/>
    <n v="110000"/>
    <n v="5"/>
    <s v="Bachelors"/>
    <x v="4"/>
    <x v="0"/>
    <x v="3"/>
    <s v="2-5 Miles"/>
    <s v="Pacific"/>
    <x v="28"/>
    <x v="1"/>
  </r>
  <r>
    <n v="11249"/>
    <s v="M"/>
    <s v="F"/>
    <n v="130000"/>
    <n v="3"/>
    <s v="Partial College"/>
    <x v="2"/>
    <x v="0"/>
    <x v="4"/>
    <s v="0-1 Miles"/>
    <s v="Europe"/>
    <x v="36"/>
    <x v="1"/>
  </r>
  <r>
    <n v="21568"/>
    <s v="M"/>
    <s v="F"/>
    <n v="100000"/>
    <n v="0"/>
    <s v="High School"/>
    <x v="4"/>
    <x v="0"/>
    <x v="3"/>
    <s v="10+ Miles"/>
    <s v="Pacific"/>
    <x v="17"/>
    <x v="1"/>
  </r>
  <r>
    <n v="13981"/>
    <s v="M"/>
    <s v="F"/>
    <n v="10000"/>
    <n v="5"/>
    <s v="High School"/>
    <x v="0"/>
    <x v="1"/>
    <x v="4"/>
    <s v="1-2 Miles"/>
    <s v="Pacific"/>
    <x v="24"/>
    <x v="0"/>
  </r>
  <r>
    <n v="23432"/>
    <s v="S"/>
    <s v="M"/>
    <n v="70000"/>
    <n v="0"/>
    <s v="Bachelors"/>
    <x v="2"/>
    <x v="0"/>
    <x v="1"/>
    <s v="5-10 Miles"/>
    <s v="Pacific"/>
    <x v="34"/>
    <x v="1"/>
  </r>
  <r>
    <n v="22931"/>
    <s v="M"/>
    <s v="M"/>
    <n v="100000"/>
    <n v="5"/>
    <s v="Graduate Degree"/>
    <x v="4"/>
    <x v="1"/>
    <x v="1"/>
    <s v="1-2 Miles"/>
    <s v="Pacific"/>
    <x v="44"/>
    <x v="1"/>
  </r>
  <r>
    <n v="18172"/>
    <s v="M"/>
    <s v="M"/>
    <n v="130000"/>
    <n v="4"/>
    <s v="High School"/>
    <x v="2"/>
    <x v="0"/>
    <x v="4"/>
    <s v="0-1 Miles"/>
    <s v="Europe"/>
    <x v="10"/>
    <x v="0"/>
  </r>
  <r>
    <n v="12666"/>
    <s v="S"/>
    <s v="M"/>
    <n v="60000"/>
    <n v="0"/>
    <s v="Bachelors"/>
    <x v="2"/>
    <x v="1"/>
    <x v="3"/>
    <s v="2-5 Miles"/>
    <s v="Pacific"/>
    <x v="23"/>
    <x v="0"/>
  </r>
  <r>
    <n v="20598"/>
    <s v="M"/>
    <s v="M"/>
    <n v="100000"/>
    <n v="3"/>
    <s v="Partial High School"/>
    <x v="2"/>
    <x v="0"/>
    <x v="0"/>
    <s v="10+ Miles"/>
    <s v="Europe"/>
    <x v="14"/>
    <x v="1"/>
  </r>
  <r>
    <n v="21375"/>
    <s v="S"/>
    <s v="M"/>
    <n v="20000"/>
    <n v="2"/>
    <s v="Partial High School"/>
    <x v="1"/>
    <x v="0"/>
    <x v="2"/>
    <s v="5-10 Miles"/>
    <s v="Pacific"/>
    <x v="42"/>
    <x v="0"/>
  </r>
  <r>
    <n v="20839"/>
    <s v="S"/>
    <s v="F"/>
    <n v="30000"/>
    <n v="3"/>
    <s v="Graduate Degree"/>
    <x v="1"/>
    <x v="0"/>
    <x v="0"/>
    <s v="0-1 Miles"/>
    <s v="Europe"/>
    <x v="15"/>
    <x v="1"/>
  </r>
  <r>
    <n v="21738"/>
    <s v="M"/>
    <s v="M"/>
    <n v="20000"/>
    <n v="1"/>
    <s v="Graduate Degree"/>
    <x v="1"/>
    <x v="0"/>
    <x v="0"/>
    <s v="0-1 Miles"/>
    <s v="Europe"/>
    <x v="1"/>
    <x v="0"/>
  </r>
  <r>
    <n v="14164"/>
    <s v="S"/>
    <s v="F"/>
    <n v="50000"/>
    <n v="0"/>
    <s v="Graduate Degree"/>
    <x v="0"/>
    <x v="0"/>
    <x v="0"/>
    <s v="0-1 Miles"/>
    <s v="Europe"/>
    <x v="4"/>
    <x v="1"/>
  </r>
  <r>
    <n v="14193"/>
    <s v="S"/>
    <s v="F"/>
    <n v="100000"/>
    <n v="3"/>
    <s v="Partial College"/>
    <x v="4"/>
    <x v="0"/>
    <x v="3"/>
    <s v="10+ Miles"/>
    <s v="Europe"/>
    <x v="16"/>
    <x v="0"/>
  </r>
  <r>
    <n v="12705"/>
    <s v="M"/>
    <s v="M"/>
    <n v="150000"/>
    <n v="0"/>
    <s v="Bachelors"/>
    <x v="4"/>
    <x v="0"/>
    <x v="3"/>
    <s v="0-1 Miles"/>
    <s v="Pacific"/>
    <x v="34"/>
    <x v="1"/>
  </r>
  <r>
    <n v="22672"/>
    <s v="S"/>
    <s v="F"/>
    <n v="30000"/>
    <n v="2"/>
    <s v="Partial College"/>
    <x v="1"/>
    <x v="0"/>
    <x v="0"/>
    <s v="0-1 Miles"/>
    <s v="Europe"/>
    <x v="1"/>
    <x v="0"/>
  </r>
  <r>
    <n v="26219"/>
    <s v="M"/>
    <s v="F"/>
    <n v="40000"/>
    <n v="1"/>
    <s v="Bachelors"/>
    <x v="0"/>
    <x v="0"/>
    <x v="1"/>
    <s v="1-2 Miles"/>
    <s v="Europe"/>
    <x v="6"/>
    <x v="1"/>
  </r>
  <r>
    <n v="28468"/>
    <s v="M"/>
    <s v="F"/>
    <n v="10000"/>
    <n v="2"/>
    <s v="Partial College"/>
    <x v="3"/>
    <x v="0"/>
    <x v="0"/>
    <s v="1-2 Miles"/>
    <s v="Europe"/>
    <x v="36"/>
    <x v="0"/>
  </r>
  <r>
    <n v="23419"/>
    <s v="S"/>
    <s v="F"/>
    <n v="70000"/>
    <n v="5"/>
    <s v="Bachelors"/>
    <x v="2"/>
    <x v="0"/>
    <x v="4"/>
    <s v="10+ Miles"/>
    <s v="Pacific"/>
    <x v="32"/>
    <x v="0"/>
  </r>
  <r>
    <n v="17964"/>
    <s v="M"/>
    <s v="M"/>
    <n v="40000"/>
    <n v="0"/>
    <s v="Graduate Degree"/>
    <x v="1"/>
    <x v="0"/>
    <x v="0"/>
    <s v="0-1 Miles"/>
    <s v="Europe"/>
    <x v="34"/>
    <x v="1"/>
  </r>
  <r>
    <n v="20919"/>
    <s v="S"/>
    <s v="F"/>
    <n v="30000"/>
    <n v="2"/>
    <s v="Partial College"/>
    <x v="1"/>
    <x v="0"/>
    <x v="2"/>
    <s v="0-1 Miles"/>
    <s v="Europe"/>
    <x v="0"/>
    <x v="0"/>
  </r>
  <r>
    <n v="20927"/>
    <s v="S"/>
    <s v="F"/>
    <n v="20000"/>
    <n v="5"/>
    <s v="High School"/>
    <x v="3"/>
    <x v="0"/>
    <x v="2"/>
    <s v="0-1 Miles"/>
    <s v="Europe"/>
    <x v="40"/>
    <x v="0"/>
  </r>
  <r>
    <n v="13133"/>
    <s v="S"/>
    <s v="M"/>
    <n v="100000"/>
    <n v="5"/>
    <s v="Bachelors"/>
    <x v="2"/>
    <x v="0"/>
    <x v="1"/>
    <s v="5-10 Miles"/>
    <s v="Pacific"/>
    <x v="15"/>
    <x v="1"/>
  </r>
  <r>
    <n v="19626"/>
    <s v="M"/>
    <s v="M"/>
    <n v="70000"/>
    <n v="5"/>
    <s v="Partial College"/>
    <x v="0"/>
    <x v="0"/>
    <x v="4"/>
    <s v="5-10 Miles"/>
    <s v="Pacific"/>
    <x v="12"/>
    <x v="0"/>
  </r>
  <r>
    <n v="21039"/>
    <s v="S"/>
    <s v="F"/>
    <n v="50000"/>
    <n v="0"/>
    <s v="Graduate Degree"/>
    <x v="0"/>
    <x v="1"/>
    <x v="0"/>
    <s v="0-1 Miles"/>
    <s v="Europe"/>
    <x v="34"/>
    <x v="1"/>
  </r>
  <r>
    <n v="12231"/>
    <s v="S"/>
    <s v="F"/>
    <n v="10000"/>
    <n v="2"/>
    <s v="Partial College"/>
    <x v="3"/>
    <x v="0"/>
    <x v="0"/>
    <s v="0-1 Miles"/>
    <s v="Europe"/>
    <x v="36"/>
    <x v="1"/>
  </r>
  <r>
    <n v="25665"/>
    <s v="S"/>
    <s v="F"/>
    <n v="20000"/>
    <n v="0"/>
    <s v="High School"/>
    <x v="3"/>
    <x v="1"/>
    <x v="1"/>
    <s v="1-2 Miles"/>
    <s v="Europe"/>
    <x v="26"/>
    <x v="0"/>
  </r>
  <r>
    <n v="24061"/>
    <s v="M"/>
    <s v="M"/>
    <n v="10000"/>
    <n v="4"/>
    <s v="Partial High School"/>
    <x v="3"/>
    <x v="0"/>
    <x v="1"/>
    <s v="0-1 Miles"/>
    <s v="Europe"/>
    <x v="8"/>
    <x v="1"/>
  </r>
  <r>
    <n v="26879"/>
    <s v="S"/>
    <s v="F"/>
    <n v="20000"/>
    <n v="0"/>
    <s v="High School"/>
    <x v="3"/>
    <x v="1"/>
    <x v="1"/>
    <s v="2-5 Miles"/>
    <s v="Europe"/>
    <x v="25"/>
    <x v="0"/>
  </r>
  <r>
    <n v="12284"/>
    <s v="M"/>
    <s v="F"/>
    <n v="30000"/>
    <n v="0"/>
    <s v="Bachelors"/>
    <x v="1"/>
    <x v="1"/>
    <x v="0"/>
    <s v="0-1 Miles"/>
    <s v="Europe"/>
    <x v="4"/>
    <x v="1"/>
  </r>
  <r>
    <n v="26654"/>
    <s v="M"/>
    <s v="F"/>
    <n v="90000"/>
    <n v="1"/>
    <s v="Graduate Degree"/>
    <x v="4"/>
    <x v="0"/>
    <x v="0"/>
    <s v="0-1 Miles"/>
    <s v="Pacific"/>
    <x v="34"/>
    <x v="1"/>
  </r>
  <r>
    <n v="14545"/>
    <s v="M"/>
    <s v="F"/>
    <n v="10000"/>
    <n v="2"/>
    <s v="Partial College"/>
    <x v="3"/>
    <x v="0"/>
    <x v="0"/>
    <s v="1-2 Miles"/>
    <s v="Europe"/>
    <x v="38"/>
    <x v="0"/>
  </r>
  <r>
    <n v="24201"/>
    <s v="M"/>
    <s v="F"/>
    <n v="10000"/>
    <n v="2"/>
    <s v="High School"/>
    <x v="3"/>
    <x v="0"/>
    <x v="0"/>
    <s v="0-1 Miles"/>
    <s v="Europe"/>
    <x v="34"/>
    <x v="1"/>
  </r>
  <r>
    <n v="20625"/>
    <s v="M"/>
    <s v="M"/>
    <n v="100000"/>
    <n v="0"/>
    <s v="High School"/>
    <x v="4"/>
    <x v="0"/>
    <x v="4"/>
    <s v="10+ Miles"/>
    <s v="Pacific"/>
    <x v="11"/>
    <x v="1"/>
  </r>
  <r>
    <n v="16390"/>
    <s v="S"/>
    <s v="M"/>
    <n v="30000"/>
    <n v="1"/>
    <s v="Bachelors"/>
    <x v="1"/>
    <x v="1"/>
    <x v="0"/>
    <s v="0-1 Miles"/>
    <s v="Europe"/>
    <x v="13"/>
    <x v="1"/>
  </r>
  <r>
    <n v="14804"/>
    <s v="S"/>
    <s v="F"/>
    <n v="10000"/>
    <n v="3"/>
    <s v="Partial High School"/>
    <x v="3"/>
    <x v="0"/>
    <x v="2"/>
    <s v="0-1 Miles"/>
    <s v="Europe"/>
    <x v="1"/>
    <x v="0"/>
  </r>
  <r>
    <n v="12629"/>
    <s v="S"/>
    <s v="M"/>
    <n v="20000"/>
    <n v="1"/>
    <s v="Partial College"/>
    <x v="3"/>
    <x v="1"/>
    <x v="0"/>
    <s v="0-1 Miles"/>
    <s v="Europe"/>
    <x v="34"/>
    <x v="0"/>
  </r>
  <r>
    <n v="14696"/>
    <s v="S"/>
    <s v="M"/>
    <n v="10000"/>
    <n v="0"/>
    <s v="Partial High School"/>
    <x v="3"/>
    <x v="1"/>
    <x v="2"/>
    <s v="0-1 Miles"/>
    <s v="Europe"/>
    <x v="17"/>
    <x v="0"/>
  </r>
  <r>
    <n v="22005"/>
    <s v="M"/>
    <s v="F"/>
    <n v="70000"/>
    <n v="5"/>
    <s v="Partial College"/>
    <x v="0"/>
    <x v="1"/>
    <x v="4"/>
    <s v="5-10 Miles"/>
    <s v="Pacific"/>
    <x v="30"/>
    <x v="0"/>
  </r>
  <r>
    <n v="14544"/>
    <s v="S"/>
    <s v="M"/>
    <n v="10000"/>
    <n v="1"/>
    <s v="Partial College"/>
    <x v="3"/>
    <x v="0"/>
    <x v="0"/>
    <s v="0-1 Miles"/>
    <s v="Europe"/>
    <x v="38"/>
    <x v="0"/>
  </r>
  <r>
    <n v="14312"/>
    <s v="M"/>
    <s v="F"/>
    <n v="60000"/>
    <n v="1"/>
    <s v="Partial College"/>
    <x v="0"/>
    <x v="0"/>
    <x v="1"/>
    <s v="5-10 Miles"/>
    <s v="Pacific"/>
    <x v="12"/>
    <x v="0"/>
  </r>
  <r>
    <n v="29120"/>
    <s v="S"/>
    <s v="F"/>
    <n v="100000"/>
    <n v="1"/>
    <s v="Bachelors"/>
    <x v="4"/>
    <x v="0"/>
    <x v="3"/>
    <s v="2-5 Miles"/>
    <s v="Pacific"/>
    <x v="28"/>
    <x v="0"/>
  </r>
  <r>
    <n v="24187"/>
    <s v="S"/>
    <s v="F"/>
    <n v="30000"/>
    <n v="3"/>
    <s v="Graduate Degree"/>
    <x v="1"/>
    <x v="1"/>
    <x v="0"/>
    <s v="0-1 Miles"/>
    <s v="Europe"/>
    <x v="30"/>
    <x v="1"/>
  </r>
  <r>
    <n v="15758"/>
    <s v="M"/>
    <s v="M"/>
    <n v="130000"/>
    <n v="0"/>
    <s v="Graduate Degree"/>
    <x v="4"/>
    <x v="0"/>
    <x v="0"/>
    <s v="5-10 Miles"/>
    <s v="Pacific"/>
    <x v="28"/>
    <x v="0"/>
  </r>
  <r>
    <n v="29094"/>
    <s v="M"/>
    <s v="M"/>
    <n v="30000"/>
    <n v="3"/>
    <s v="High School"/>
    <x v="0"/>
    <x v="0"/>
    <x v="2"/>
    <s v="5-10 Miles"/>
    <s v="Pacific"/>
    <x v="9"/>
    <x v="1"/>
  </r>
  <r>
    <n v="28319"/>
    <s v="S"/>
    <s v="F"/>
    <n v="60000"/>
    <n v="1"/>
    <s v="Partial College"/>
    <x v="0"/>
    <x v="1"/>
    <x v="1"/>
    <s v="0-1 Miles"/>
    <s v="Pacific"/>
    <x v="30"/>
    <x v="1"/>
  </r>
  <r>
    <n v="16406"/>
    <s v="M"/>
    <s v="M"/>
    <n v="40000"/>
    <n v="0"/>
    <s v="Bachelors"/>
    <x v="1"/>
    <x v="1"/>
    <x v="0"/>
    <s v="0-1 Miles"/>
    <s v="Europe"/>
    <x v="13"/>
    <x v="1"/>
  </r>
  <r>
    <n v="20923"/>
    <s v="M"/>
    <s v="F"/>
    <n v="40000"/>
    <n v="1"/>
    <s v="Bachelors"/>
    <x v="0"/>
    <x v="0"/>
    <x v="0"/>
    <s v="0-1 Miles"/>
    <s v="Europe"/>
    <x v="0"/>
    <x v="1"/>
  </r>
  <r>
    <n v="11378"/>
    <s v="S"/>
    <s v="F"/>
    <n v="10000"/>
    <n v="1"/>
    <s v="High School"/>
    <x v="3"/>
    <x v="1"/>
    <x v="1"/>
    <s v="2-5 Miles"/>
    <s v="Europe"/>
    <x v="30"/>
    <x v="1"/>
  </r>
  <r>
    <n v="20851"/>
    <s v="S"/>
    <s v="M"/>
    <n v="20000"/>
    <n v="0"/>
    <s v="Partial College"/>
    <x v="3"/>
    <x v="1"/>
    <x v="1"/>
    <s v="2-5 Miles"/>
    <s v="Europe"/>
    <x v="4"/>
    <x v="1"/>
  </r>
  <r>
    <n v="21557"/>
    <s v="S"/>
    <s v="F"/>
    <n v="110000"/>
    <n v="0"/>
    <s v="Partial College"/>
    <x v="4"/>
    <x v="0"/>
    <x v="4"/>
    <s v="10+ Miles"/>
    <s v="Pacific"/>
    <x v="21"/>
    <x v="1"/>
  </r>
  <r>
    <n v="26663"/>
    <s v="S"/>
    <s v="F"/>
    <n v="60000"/>
    <n v="2"/>
    <s v="Bachelors"/>
    <x v="2"/>
    <x v="1"/>
    <x v="1"/>
    <s v="0-1 Miles"/>
    <s v="Pacific"/>
    <x v="32"/>
    <x v="1"/>
  </r>
  <r>
    <n v="11896"/>
    <s v="M"/>
    <s v="M"/>
    <n v="100000"/>
    <n v="1"/>
    <s v="Graduate Degree"/>
    <x v="4"/>
    <x v="0"/>
    <x v="0"/>
    <s v="2-5 Miles"/>
    <s v="Pacific"/>
    <x v="4"/>
    <x v="1"/>
  </r>
  <r>
    <n v="14189"/>
    <s v="M"/>
    <s v="F"/>
    <n v="90000"/>
    <n v="4"/>
    <s v="High School"/>
    <x v="2"/>
    <x v="1"/>
    <x v="2"/>
    <s v="2-5 Miles"/>
    <s v="Europe"/>
    <x v="9"/>
    <x v="1"/>
  </r>
  <r>
    <n v="13136"/>
    <s v="M"/>
    <s v="F"/>
    <n v="30000"/>
    <n v="2"/>
    <s v="Partial College"/>
    <x v="1"/>
    <x v="1"/>
    <x v="2"/>
    <s v="5-10 Miles"/>
    <s v="Pacific"/>
    <x v="45"/>
    <x v="0"/>
  </r>
  <r>
    <n v="25906"/>
    <s v="S"/>
    <s v="F"/>
    <n v="10000"/>
    <n v="5"/>
    <s v="High School"/>
    <x v="0"/>
    <x v="1"/>
    <x v="2"/>
    <s v="1-2 Miles"/>
    <s v="Pacific"/>
    <x v="24"/>
    <x v="0"/>
  </r>
  <r>
    <n v="17926"/>
    <s v="S"/>
    <s v="F"/>
    <n v="40000"/>
    <n v="0"/>
    <s v="Bachelors"/>
    <x v="1"/>
    <x v="1"/>
    <x v="0"/>
    <s v="0-1 Miles"/>
    <s v="Pacific"/>
    <x v="26"/>
    <x v="1"/>
  </r>
  <r>
    <n v="26928"/>
    <s v="S"/>
    <s v="M"/>
    <n v="30000"/>
    <n v="1"/>
    <s v="Bachelors"/>
    <x v="1"/>
    <x v="0"/>
    <x v="0"/>
    <s v="0-1 Miles"/>
    <s v="Europe"/>
    <x v="24"/>
    <x v="1"/>
  </r>
  <r>
    <n v="20897"/>
    <s v="M"/>
    <s v="F"/>
    <n v="30000"/>
    <n v="1"/>
    <s v="Bachelors"/>
    <x v="0"/>
    <x v="0"/>
    <x v="2"/>
    <s v="0-1 Miles"/>
    <s v="Europe"/>
    <x v="8"/>
    <x v="0"/>
  </r>
  <r>
    <n v="28207"/>
    <s v="M"/>
    <s v="M"/>
    <n v="80000"/>
    <n v="4"/>
    <s v="Graduate Degree"/>
    <x v="4"/>
    <x v="0"/>
    <x v="1"/>
    <s v="0-1 Miles"/>
    <s v="Pacific"/>
    <x v="4"/>
    <x v="1"/>
  </r>
  <r>
    <n v="25923"/>
    <s v="S"/>
    <s v="M"/>
    <n v="10000"/>
    <n v="2"/>
    <s v="Partial High School"/>
    <x v="1"/>
    <x v="0"/>
    <x v="2"/>
    <s v="5-10 Miles"/>
    <s v="Pacific"/>
    <x v="7"/>
    <x v="0"/>
  </r>
  <r>
    <n v="11000"/>
    <s v="M"/>
    <s v="M"/>
    <n v="90000"/>
    <n v="2"/>
    <s v="Bachelors"/>
    <x v="2"/>
    <x v="0"/>
    <x v="0"/>
    <s v="1-2 Miles"/>
    <s v="Pacific"/>
    <x v="8"/>
    <x v="1"/>
  </r>
  <r>
    <n v="20974"/>
    <s v="M"/>
    <s v="M"/>
    <n v="10000"/>
    <n v="2"/>
    <s v="Bachelors"/>
    <x v="1"/>
    <x v="0"/>
    <x v="1"/>
    <s v="0-1 Miles"/>
    <s v="Europe"/>
    <x v="29"/>
    <x v="0"/>
  </r>
  <r>
    <n v="28758"/>
    <s v="M"/>
    <s v="M"/>
    <n v="40000"/>
    <n v="2"/>
    <s v="Partial College"/>
    <x v="1"/>
    <x v="0"/>
    <x v="1"/>
    <s v="1-2 Miles"/>
    <s v="Europe"/>
    <x v="11"/>
    <x v="1"/>
  </r>
  <r>
    <n v="11381"/>
    <s v="M"/>
    <s v="F"/>
    <n v="20000"/>
    <n v="2"/>
    <s v="Partial College"/>
    <x v="3"/>
    <x v="0"/>
    <x v="1"/>
    <s v="2-5 Miles"/>
    <s v="Europe"/>
    <x v="15"/>
    <x v="1"/>
  </r>
  <r>
    <n v="17522"/>
    <s v="M"/>
    <s v="M"/>
    <n v="120000"/>
    <n v="4"/>
    <s v="Bachelors"/>
    <x v="4"/>
    <x v="0"/>
    <x v="1"/>
    <s v="2-5 Miles"/>
    <s v="Pacific"/>
    <x v="15"/>
    <x v="0"/>
  </r>
  <r>
    <n v="21207"/>
    <s v="M"/>
    <s v="M"/>
    <n v="60000"/>
    <n v="1"/>
    <s v="Partial College"/>
    <x v="0"/>
    <x v="0"/>
    <x v="1"/>
    <s v="5-10 Miles"/>
    <s v="Pacific"/>
    <x v="30"/>
    <x v="0"/>
  </r>
  <r>
    <n v="28102"/>
    <s v="M"/>
    <s v="M"/>
    <n v="20000"/>
    <n v="4"/>
    <s v="High School"/>
    <x v="0"/>
    <x v="0"/>
    <x v="2"/>
    <s v="5-10 Miles"/>
    <s v="Pacific"/>
    <x v="7"/>
    <x v="1"/>
  </r>
  <r>
    <n v="23105"/>
    <s v="S"/>
    <s v="M"/>
    <n v="40000"/>
    <n v="3"/>
    <s v="Partial High School"/>
    <x v="1"/>
    <x v="1"/>
    <x v="2"/>
    <s v="5-10 Miles"/>
    <s v="Pacific"/>
    <x v="31"/>
    <x v="1"/>
  </r>
  <r>
    <n v="18740"/>
    <s v="M"/>
    <s v="M"/>
    <n v="80000"/>
    <n v="5"/>
    <s v="Bachelors"/>
    <x v="2"/>
    <x v="1"/>
    <x v="1"/>
    <s v="0-1 Miles"/>
    <s v="Pacific"/>
    <x v="15"/>
    <x v="1"/>
  </r>
  <r>
    <n v="21213"/>
    <s v="S"/>
    <s v="M"/>
    <n v="70000"/>
    <n v="0"/>
    <s v="Bachelors"/>
    <x v="2"/>
    <x v="1"/>
    <x v="1"/>
    <s v="5-10 Miles"/>
    <s v="Pacific"/>
    <x v="3"/>
    <x v="0"/>
  </r>
  <r>
    <n v="17352"/>
    <s v="M"/>
    <s v="M"/>
    <n v="50000"/>
    <n v="2"/>
    <s v="Graduate Degree"/>
    <x v="4"/>
    <x v="0"/>
    <x v="1"/>
    <s v="5-10 Miles"/>
    <s v="Pacific"/>
    <x v="46"/>
    <x v="1"/>
  </r>
  <r>
    <n v="14154"/>
    <s v="M"/>
    <s v="M"/>
    <n v="30000"/>
    <n v="0"/>
    <s v="Bachelors"/>
    <x v="1"/>
    <x v="0"/>
    <x v="0"/>
    <s v="0-1 Miles"/>
    <s v="Europe"/>
    <x v="11"/>
    <x v="1"/>
  </r>
  <r>
    <n v="19066"/>
    <s v="M"/>
    <s v="M"/>
    <n v="130000"/>
    <n v="4"/>
    <s v="Partial College"/>
    <x v="2"/>
    <x v="1"/>
    <x v="4"/>
    <s v="10+ Miles"/>
    <s v="Europe"/>
    <x v="9"/>
    <x v="0"/>
  </r>
  <r>
    <n v="11386"/>
    <s v="M"/>
    <s v="F"/>
    <n v="30000"/>
    <n v="3"/>
    <s v="Bachelors"/>
    <x v="1"/>
    <x v="0"/>
    <x v="0"/>
    <s v="0-1 Miles"/>
    <s v="Europe"/>
    <x v="12"/>
    <x v="0"/>
  </r>
  <r>
    <n v="20228"/>
    <s v="M"/>
    <s v="M"/>
    <n v="100000"/>
    <n v="0"/>
    <s v="Graduate Degree"/>
    <x v="4"/>
    <x v="0"/>
    <x v="0"/>
    <s v="2-5 Miles"/>
    <s v="Pacific"/>
    <x v="8"/>
    <x v="1"/>
  </r>
  <r>
    <n v="16675"/>
    <s v="S"/>
    <s v="F"/>
    <n v="160000"/>
    <n v="0"/>
    <s v="Graduate Degree"/>
    <x v="4"/>
    <x v="1"/>
    <x v="4"/>
    <s v="0-1 Miles"/>
    <s v="Pacific"/>
    <x v="15"/>
    <x v="1"/>
  </r>
  <r>
    <n v="16410"/>
    <s v="S"/>
    <s v="F"/>
    <n v="10000"/>
    <n v="4"/>
    <s v="Partial High School"/>
    <x v="3"/>
    <x v="0"/>
    <x v="2"/>
    <s v="0-1 Miles"/>
    <s v="Europe"/>
    <x v="3"/>
    <x v="1"/>
  </r>
  <r>
    <n v="27760"/>
    <s v="S"/>
    <s v="F"/>
    <n v="40000"/>
    <n v="0"/>
    <s v="Graduate Degree"/>
    <x v="1"/>
    <x v="1"/>
    <x v="0"/>
    <s v="0-1 Miles"/>
    <s v="Europe"/>
    <x v="34"/>
    <x v="1"/>
  </r>
  <r>
    <n v="22930"/>
    <s v="M"/>
    <s v="M"/>
    <n v="90000"/>
    <n v="4"/>
    <s v="Bachelors"/>
    <x v="2"/>
    <x v="0"/>
    <x v="0"/>
    <s v="1-2 Miles"/>
    <s v="Pacific"/>
    <x v="13"/>
    <x v="1"/>
  </r>
  <r>
    <n v="23780"/>
    <s v="S"/>
    <s v="M"/>
    <n v="40000"/>
    <n v="2"/>
    <s v="Partial College"/>
    <x v="1"/>
    <x v="1"/>
    <x v="2"/>
    <s v="0-1 Miles"/>
    <s v="Europe"/>
    <x v="4"/>
    <x v="1"/>
  </r>
  <r>
    <n v="20994"/>
    <s v="M"/>
    <s v="F"/>
    <n v="20000"/>
    <n v="0"/>
    <s v="Bachelors"/>
    <x v="1"/>
    <x v="1"/>
    <x v="0"/>
    <s v="0-1 Miles"/>
    <s v="Pacific"/>
    <x v="22"/>
    <x v="1"/>
  </r>
  <r>
    <n v="28379"/>
    <s v="M"/>
    <s v="M"/>
    <n v="30000"/>
    <n v="1"/>
    <s v="Bachelors"/>
    <x v="0"/>
    <x v="0"/>
    <x v="2"/>
    <s v="0-1 Miles"/>
    <s v="Europe"/>
    <x v="8"/>
    <x v="0"/>
  </r>
  <r>
    <n v="14865"/>
    <s v="S"/>
    <s v="M"/>
    <n v="40000"/>
    <n v="2"/>
    <s v="Partial College"/>
    <x v="1"/>
    <x v="0"/>
    <x v="2"/>
    <s v="1-2 Miles"/>
    <s v="Europe"/>
    <x v="4"/>
    <x v="0"/>
  </r>
  <r>
    <n v="12663"/>
    <s v="M"/>
    <s v="F"/>
    <n v="90000"/>
    <n v="5"/>
    <s v="Partial High School"/>
    <x v="0"/>
    <x v="0"/>
    <x v="2"/>
    <s v="10+ Miles"/>
    <s v="Europe"/>
    <x v="14"/>
    <x v="0"/>
  </r>
  <r>
    <n v="24898"/>
    <s v="S"/>
    <s v="F"/>
    <n v="80000"/>
    <n v="0"/>
    <s v="Bachelors"/>
    <x v="2"/>
    <x v="0"/>
    <x v="4"/>
    <s v="10+ Miles"/>
    <s v="Pacific"/>
    <x v="21"/>
    <x v="0"/>
  </r>
  <r>
    <n v="19508"/>
    <s v="M"/>
    <s v="M"/>
    <n v="10000"/>
    <n v="0"/>
    <s v="Partial High School"/>
    <x v="3"/>
    <x v="1"/>
    <x v="2"/>
    <s v="0-1 Miles"/>
    <s v="Europe"/>
    <x v="25"/>
    <x v="0"/>
  </r>
  <r>
    <n v="11489"/>
    <s v="S"/>
    <s v="F"/>
    <n v="20000"/>
    <n v="0"/>
    <s v="Partial High School"/>
    <x v="3"/>
    <x v="1"/>
    <x v="2"/>
    <s v="1-2 Miles"/>
    <s v="Europe"/>
    <x v="11"/>
    <x v="1"/>
  </r>
  <r>
    <n v="18160"/>
    <s v="M"/>
    <s v="M"/>
    <n v="130000"/>
    <n v="3"/>
    <s v="High School"/>
    <x v="2"/>
    <x v="0"/>
    <x v="3"/>
    <s v="5-10 Miles"/>
    <s v="Europe"/>
    <x v="36"/>
    <x v="1"/>
  </r>
  <r>
    <n v="25241"/>
    <s v="M"/>
    <s v="M"/>
    <n v="90000"/>
    <n v="2"/>
    <s v="Bachelors"/>
    <x v="2"/>
    <x v="0"/>
    <x v="1"/>
    <s v="5-10 Miles"/>
    <s v="Pacific"/>
    <x v="15"/>
    <x v="0"/>
  </r>
  <r>
    <n v="24369"/>
    <s v="M"/>
    <s v="M"/>
    <n v="80000"/>
    <n v="5"/>
    <s v="Graduate Degree"/>
    <x v="4"/>
    <x v="1"/>
    <x v="2"/>
    <s v="0-1 Miles"/>
    <s v="Pacific"/>
    <x v="32"/>
    <x v="0"/>
  </r>
  <r>
    <n v="27165"/>
    <s v="S"/>
    <s v="M"/>
    <n v="20000"/>
    <n v="0"/>
    <s v="Partial High School"/>
    <x v="3"/>
    <x v="1"/>
    <x v="2"/>
    <s v="0-1 Miles"/>
    <s v="Europe"/>
    <x v="17"/>
    <x v="0"/>
  </r>
  <r>
    <n v="29424"/>
    <s v="M"/>
    <s v="M"/>
    <n v="10000"/>
    <n v="0"/>
    <s v="Partial High School"/>
    <x v="3"/>
    <x v="0"/>
    <x v="2"/>
    <s v="0-1 Miles"/>
    <s v="Europe"/>
    <x v="21"/>
    <x v="0"/>
  </r>
  <r>
    <n v="15926"/>
    <s v="S"/>
    <s v="F"/>
    <n v="120000"/>
    <n v="3"/>
    <s v="High School"/>
    <x v="2"/>
    <x v="0"/>
    <x v="3"/>
    <s v="5-10 Miles"/>
    <s v="Europe"/>
    <x v="5"/>
    <x v="1"/>
  </r>
  <r>
    <n v="14554"/>
    <s v="M"/>
    <s v="M"/>
    <n v="20000"/>
    <n v="1"/>
    <s v="Bachelors"/>
    <x v="1"/>
    <x v="0"/>
    <x v="0"/>
    <s v="0-1 Miles"/>
    <s v="Europe"/>
    <x v="29"/>
    <x v="0"/>
  </r>
  <r>
    <n v="16468"/>
    <s v="S"/>
    <s v="M"/>
    <n v="30000"/>
    <n v="0"/>
    <s v="Partial College"/>
    <x v="1"/>
    <x v="0"/>
    <x v="1"/>
    <s v="2-5 Miles"/>
    <s v="Europe"/>
    <x v="25"/>
    <x v="0"/>
  </r>
  <r>
    <n v="19174"/>
    <s v="S"/>
    <s v="F"/>
    <n v="30000"/>
    <n v="0"/>
    <s v="High School"/>
    <x v="3"/>
    <x v="1"/>
    <x v="1"/>
    <s v="2-5 Miles"/>
    <s v="Europe"/>
    <x v="21"/>
    <x v="1"/>
  </r>
  <r>
    <n v="19183"/>
    <s v="S"/>
    <s v="M"/>
    <n v="10000"/>
    <n v="0"/>
    <s v="Partial High School"/>
    <x v="3"/>
    <x v="0"/>
    <x v="2"/>
    <s v="1-2 Miles"/>
    <s v="Europe"/>
    <x v="11"/>
    <x v="0"/>
  </r>
  <r>
    <n v="13683"/>
    <s v="S"/>
    <s v="F"/>
    <n v="30000"/>
    <n v="0"/>
    <s v="High School"/>
    <x v="3"/>
    <x v="1"/>
    <x v="1"/>
    <s v="2-5 Miles"/>
    <s v="Europe"/>
    <x v="21"/>
    <x v="0"/>
  </r>
  <r>
    <n v="17848"/>
    <s v="S"/>
    <s v="M"/>
    <n v="30000"/>
    <n v="0"/>
    <s v="Partial College"/>
    <x v="1"/>
    <x v="1"/>
    <x v="1"/>
    <s v="2-5 Miles"/>
    <s v="Europe"/>
    <x v="23"/>
    <x v="1"/>
  </r>
  <r>
    <n v="17894"/>
    <s v="M"/>
    <s v="F"/>
    <n v="20000"/>
    <n v="1"/>
    <s v="Bachelors"/>
    <x v="1"/>
    <x v="0"/>
    <x v="0"/>
    <s v="0-1 Miles"/>
    <s v="Europe"/>
    <x v="5"/>
    <x v="1"/>
  </r>
  <r>
    <n v="25651"/>
    <s v="M"/>
    <s v="M"/>
    <n v="40000"/>
    <n v="1"/>
    <s v="Bachelors"/>
    <x v="0"/>
    <x v="1"/>
    <x v="0"/>
    <s v="0-1 Miles"/>
    <s v="Europe"/>
    <x v="1"/>
    <x v="1"/>
  </r>
  <r>
    <n v="22936"/>
    <s v="S"/>
    <s v="F"/>
    <n v="60000"/>
    <n v="1"/>
    <s v="Partial College"/>
    <x v="0"/>
    <x v="1"/>
    <x v="1"/>
    <s v="0-1 Miles"/>
    <s v="Pacific"/>
    <x v="12"/>
    <x v="1"/>
  </r>
  <r>
    <n v="23915"/>
    <s v="M"/>
    <s v="M"/>
    <n v="20000"/>
    <n v="2"/>
    <s v="High School"/>
    <x v="3"/>
    <x v="0"/>
    <x v="2"/>
    <s v="0-1 Miles"/>
    <s v="Europe"/>
    <x v="0"/>
    <x v="0"/>
  </r>
  <r>
    <n v="24121"/>
    <s v="S"/>
    <s v="F"/>
    <n v="30000"/>
    <n v="0"/>
    <s v="Partial College"/>
    <x v="1"/>
    <x v="1"/>
    <x v="1"/>
    <s v="0-1 Miles"/>
    <s v="Europe"/>
    <x v="19"/>
    <x v="1"/>
  </r>
  <r>
    <n v="27878"/>
    <s v="S"/>
    <s v="M"/>
    <n v="20000"/>
    <n v="0"/>
    <s v="Partial College"/>
    <x v="3"/>
    <x v="1"/>
    <x v="0"/>
    <s v="0-1 Miles"/>
    <s v="Pacific"/>
    <x v="26"/>
    <x v="1"/>
  </r>
  <r>
    <n v="13572"/>
    <s v="S"/>
    <s v="M"/>
    <n v="10000"/>
    <n v="3"/>
    <s v="High School"/>
    <x v="3"/>
    <x v="0"/>
    <x v="0"/>
    <s v="0-1 Miles"/>
    <s v="Europe"/>
    <x v="34"/>
    <x v="1"/>
  </r>
  <r>
    <n v="27941"/>
    <s v="M"/>
    <s v="F"/>
    <n v="80000"/>
    <n v="4"/>
    <s v="Partial College"/>
    <x v="2"/>
    <x v="0"/>
    <x v="2"/>
    <s v="2-5 Miles"/>
    <s v="Europe"/>
    <x v="39"/>
    <x v="0"/>
  </r>
  <r>
    <n v="26354"/>
    <s v="S"/>
    <s v="M"/>
    <n v="40000"/>
    <n v="0"/>
    <s v="Graduate Degree"/>
    <x v="1"/>
    <x v="1"/>
    <x v="0"/>
    <s v="0-1 Miles"/>
    <s v="Europe"/>
    <x v="13"/>
    <x v="1"/>
  </r>
  <r>
    <n v="14785"/>
    <s v="S"/>
    <s v="M"/>
    <n v="30000"/>
    <n v="1"/>
    <s v="Bachelors"/>
    <x v="1"/>
    <x v="1"/>
    <x v="1"/>
    <s v="1-2 Miles"/>
    <s v="Europe"/>
    <x v="32"/>
    <x v="0"/>
  </r>
  <r>
    <n v="17238"/>
    <s v="S"/>
    <s v="M"/>
    <n v="80000"/>
    <n v="0"/>
    <s v="Bachelors"/>
    <x v="2"/>
    <x v="0"/>
    <x v="4"/>
    <s v="10+ Miles"/>
    <s v="Pacific"/>
    <x v="21"/>
    <x v="0"/>
  </r>
  <r>
    <n v="23608"/>
    <s v="M"/>
    <s v="F"/>
    <n v="150000"/>
    <n v="3"/>
    <s v="High School"/>
    <x v="2"/>
    <x v="0"/>
    <x v="4"/>
    <s v="0-1 Miles"/>
    <s v="Europe"/>
    <x v="36"/>
    <x v="1"/>
  </r>
  <r>
    <n v="22538"/>
    <s v="S"/>
    <s v="F"/>
    <n v="10000"/>
    <n v="0"/>
    <s v="Partial High School"/>
    <x v="3"/>
    <x v="0"/>
    <x v="2"/>
    <s v="1-2 Miles"/>
    <s v="Europe"/>
    <x v="6"/>
    <x v="0"/>
  </r>
  <r>
    <n v="12332"/>
    <s v="M"/>
    <s v="M"/>
    <n v="90000"/>
    <n v="4"/>
    <s v="High School"/>
    <x v="4"/>
    <x v="0"/>
    <x v="4"/>
    <s v="5-10 Miles"/>
    <s v="Europe"/>
    <x v="7"/>
    <x v="1"/>
  </r>
  <r>
    <n v="17230"/>
    <s v="M"/>
    <s v="M"/>
    <n v="80000"/>
    <n v="0"/>
    <s v="Bachelors"/>
    <x v="2"/>
    <x v="0"/>
    <x v="4"/>
    <s v="10+ Miles"/>
    <s v="Pacific"/>
    <x v="25"/>
    <x v="0"/>
  </r>
  <r>
    <n v="13082"/>
    <s v="S"/>
    <s v="M"/>
    <n v="130000"/>
    <n v="0"/>
    <s v="Graduate Degree"/>
    <x v="4"/>
    <x v="0"/>
    <x v="0"/>
    <s v="2-5 Miles"/>
    <s v="Pacific"/>
    <x v="28"/>
    <x v="1"/>
  </r>
  <r>
    <n v="22518"/>
    <s v="S"/>
    <s v="F"/>
    <n v="30000"/>
    <n v="3"/>
    <s v="Partial College"/>
    <x v="1"/>
    <x v="1"/>
    <x v="2"/>
    <s v="0-1 Miles"/>
    <s v="Europe"/>
    <x v="40"/>
    <x v="1"/>
  </r>
  <r>
    <n v="13687"/>
    <s v="M"/>
    <s v="M"/>
    <n v="40000"/>
    <n v="1"/>
    <s v="Bachelors"/>
    <x v="0"/>
    <x v="0"/>
    <x v="1"/>
    <s v="0-1 Miles"/>
    <s v="Europe"/>
    <x v="6"/>
    <x v="1"/>
  </r>
  <r>
    <n v="23571"/>
    <s v="M"/>
    <s v="F"/>
    <n v="40000"/>
    <n v="2"/>
    <s v="Bachelors"/>
    <x v="4"/>
    <x v="0"/>
    <x v="2"/>
    <s v="0-1 Miles"/>
    <s v="Pacific"/>
    <x v="29"/>
    <x v="1"/>
  </r>
  <r>
    <n v="19305"/>
    <s v="S"/>
    <s v="F"/>
    <n v="10000"/>
    <n v="2"/>
    <s v="High School"/>
    <x v="3"/>
    <x v="0"/>
    <x v="1"/>
    <s v="0-1 Miles"/>
    <s v="Europe"/>
    <x v="13"/>
    <x v="1"/>
  </r>
  <r>
    <n v="22636"/>
    <s v="S"/>
    <s v="F"/>
    <n v="40000"/>
    <n v="0"/>
    <s v="Bachelors"/>
    <x v="1"/>
    <x v="1"/>
    <x v="0"/>
    <s v="0-1 Miles"/>
    <s v="Europe"/>
    <x v="13"/>
    <x v="1"/>
  </r>
  <r>
    <n v="17310"/>
    <s v="M"/>
    <s v="M"/>
    <n v="60000"/>
    <n v="1"/>
    <s v="Partial College"/>
    <x v="0"/>
    <x v="0"/>
    <x v="1"/>
    <s v="0-1 Miles"/>
    <s v="Pacific"/>
    <x v="12"/>
    <x v="1"/>
  </r>
  <r>
    <n v="12133"/>
    <s v="M"/>
    <s v="F"/>
    <n v="130000"/>
    <n v="3"/>
    <s v="Partial College"/>
    <x v="2"/>
    <x v="0"/>
    <x v="4"/>
    <s v="5-10 Miles"/>
    <s v="Europe"/>
    <x v="5"/>
    <x v="1"/>
  </r>
  <r>
    <n v="25918"/>
    <s v="S"/>
    <s v="F"/>
    <n v="30000"/>
    <n v="2"/>
    <s v="Partial College"/>
    <x v="1"/>
    <x v="1"/>
    <x v="2"/>
    <s v="5-10 Miles"/>
    <s v="Pacific"/>
    <x v="2"/>
    <x v="1"/>
  </r>
  <r>
    <n v="25752"/>
    <s v="S"/>
    <s v="F"/>
    <n v="20000"/>
    <n v="2"/>
    <s v="Partial College"/>
    <x v="3"/>
    <x v="1"/>
    <x v="1"/>
    <s v="0-1 Miles"/>
    <s v="Europe"/>
    <x v="39"/>
    <x v="1"/>
  </r>
  <r>
    <n v="17324"/>
    <s v="M"/>
    <s v="F"/>
    <n v="100000"/>
    <n v="4"/>
    <s v="Bachelors"/>
    <x v="2"/>
    <x v="0"/>
    <x v="1"/>
    <s v="10+ Miles"/>
    <s v="Pacific"/>
    <x v="30"/>
    <x v="0"/>
  </r>
  <r>
    <n v="22918"/>
    <s v="S"/>
    <s v="M"/>
    <n v="80000"/>
    <n v="5"/>
    <s v="Graduate Degree"/>
    <x v="4"/>
    <x v="0"/>
    <x v="4"/>
    <s v="0-1 Miles"/>
    <s v="Pacific"/>
    <x v="5"/>
    <x v="0"/>
  </r>
  <r>
    <n v="12510"/>
    <s v="M"/>
    <s v="M"/>
    <n v="40000"/>
    <n v="1"/>
    <s v="Bachelors"/>
    <x v="0"/>
    <x v="0"/>
    <x v="1"/>
    <s v="0-1 Miles"/>
    <s v="Europe"/>
    <x v="1"/>
    <x v="1"/>
  </r>
  <r>
    <n v="25512"/>
    <s v="S"/>
    <s v="M"/>
    <n v="20000"/>
    <n v="0"/>
    <s v="High School"/>
    <x v="3"/>
    <x v="1"/>
    <x v="1"/>
    <s v="2-5 Miles"/>
    <s v="Europe"/>
    <x v="25"/>
    <x v="0"/>
  </r>
  <r>
    <n v="16179"/>
    <s v="S"/>
    <s v="F"/>
    <n v="80000"/>
    <n v="5"/>
    <s v="Bachelors"/>
    <x v="2"/>
    <x v="0"/>
    <x v="3"/>
    <s v="1-2 Miles"/>
    <s v="Pacific"/>
    <x v="13"/>
    <x v="0"/>
  </r>
  <r>
    <n v="15628"/>
    <s v="M"/>
    <s v="F"/>
    <n v="40000"/>
    <n v="1"/>
    <s v="Bachelors"/>
    <x v="0"/>
    <x v="0"/>
    <x v="1"/>
    <s v="0-1 Miles"/>
    <s v="Europe"/>
    <x v="47"/>
    <x v="0"/>
  </r>
  <r>
    <n v="20977"/>
    <s v="M"/>
    <s v="M"/>
    <n v="20000"/>
    <n v="1"/>
    <s v="Bachelors"/>
    <x v="1"/>
    <x v="0"/>
    <x v="0"/>
    <s v="0-1 Miles"/>
    <s v="Europe"/>
    <x v="46"/>
    <x v="1"/>
  </r>
  <r>
    <n v="18140"/>
    <s v="M"/>
    <s v="M"/>
    <n v="130000"/>
    <n v="3"/>
    <s v="Partial College"/>
    <x v="2"/>
    <x v="1"/>
    <x v="4"/>
    <s v="5-10 Miles"/>
    <s v="Europe"/>
    <x v="36"/>
    <x v="1"/>
  </r>
  <r>
    <n v="20417"/>
    <s v="M"/>
    <s v="M"/>
    <n v="30000"/>
    <n v="3"/>
    <s v="Partial College"/>
    <x v="1"/>
    <x v="1"/>
    <x v="2"/>
    <s v="5-10 Miles"/>
    <s v="Pacific"/>
    <x v="16"/>
    <x v="0"/>
  </r>
  <r>
    <n v="18267"/>
    <s v="M"/>
    <s v="M"/>
    <n v="60000"/>
    <n v="3"/>
    <s v="Bachelors"/>
    <x v="2"/>
    <x v="0"/>
    <x v="2"/>
    <s v="5-10 Miles"/>
    <s v="Pacific"/>
    <x v="1"/>
    <x v="0"/>
  </r>
  <r>
    <n v="13620"/>
    <s v="S"/>
    <s v="M"/>
    <n v="70000"/>
    <n v="0"/>
    <s v="Bachelors"/>
    <x v="2"/>
    <x v="1"/>
    <x v="4"/>
    <s v="10+ Miles"/>
    <s v="Pacific"/>
    <x v="25"/>
    <x v="1"/>
  </r>
  <r>
    <n v="22974"/>
    <s v="M"/>
    <s v="F"/>
    <n v="30000"/>
    <n v="2"/>
    <s v="Partial College"/>
    <x v="1"/>
    <x v="0"/>
    <x v="2"/>
    <s v="5-10 Miles"/>
    <s v="Pacific"/>
    <x v="45"/>
    <x v="0"/>
  </r>
  <r>
    <n v="13586"/>
    <s v="M"/>
    <s v="M"/>
    <n v="80000"/>
    <n v="4"/>
    <s v="Partial College"/>
    <x v="2"/>
    <x v="0"/>
    <x v="2"/>
    <s v="10+ Miles"/>
    <s v="Europe"/>
    <x v="39"/>
    <x v="0"/>
  </r>
  <r>
    <n v="17978"/>
    <s v="M"/>
    <s v="M"/>
    <n v="40000"/>
    <n v="0"/>
    <s v="Graduate Degree"/>
    <x v="1"/>
    <x v="0"/>
    <x v="0"/>
    <s v="0-1 Miles"/>
    <s v="Europe"/>
    <x v="34"/>
    <x v="1"/>
  </r>
  <r>
    <n v="12581"/>
    <s v="S"/>
    <s v="F"/>
    <n v="10000"/>
    <n v="0"/>
    <s v="Partial College"/>
    <x v="3"/>
    <x v="1"/>
    <x v="1"/>
    <s v="0-1 Miles"/>
    <s v="Pacific"/>
    <x v="26"/>
    <x v="1"/>
  </r>
  <r>
    <n v="18018"/>
    <s v="S"/>
    <s v="M"/>
    <n v="30000"/>
    <n v="3"/>
    <s v="Partial College"/>
    <x v="1"/>
    <x v="0"/>
    <x v="0"/>
    <s v="0-1 Miles"/>
    <s v="Europe"/>
    <x v="1"/>
    <x v="0"/>
  </r>
  <r>
    <n v="28957"/>
    <s v="S"/>
    <s v="F"/>
    <n v="120000"/>
    <n v="0"/>
    <s v="Partial High School"/>
    <x v="2"/>
    <x v="0"/>
    <x v="3"/>
    <s v="10+ Miles"/>
    <s v="Pacific"/>
    <x v="17"/>
    <x v="1"/>
  </r>
  <r>
    <n v="13690"/>
    <s v="S"/>
    <s v="F"/>
    <n v="20000"/>
    <n v="0"/>
    <s v="Partial High School"/>
    <x v="3"/>
    <x v="1"/>
    <x v="2"/>
    <s v="1-2 Miles"/>
    <s v="Europe"/>
    <x v="17"/>
    <x v="1"/>
  </r>
  <r>
    <n v="12568"/>
    <s v="M"/>
    <s v="F"/>
    <n v="30000"/>
    <n v="1"/>
    <s v="Bachelors"/>
    <x v="1"/>
    <x v="0"/>
    <x v="0"/>
    <s v="0-1 Miles"/>
    <s v="Europe"/>
    <x v="46"/>
    <x v="0"/>
  </r>
  <r>
    <n v="13122"/>
    <s v="M"/>
    <s v="F"/>
    <n v="80000"/>
    <n v="0"/>
    <s v="Bachelors"/>
    <x v="2"/>
    <x v="0"/>
    <x v="1"/>
    <s v="1-2 Miles"/>
    <s v="Pacific"/>
    <x v="3"/>
    <x v="1"/>
  </r>
  <r>
    <n v="21184"/>
    <s v="S"/>
    <s v="M"/>
    <n v="70000"/>
    <n v="0"/>
    <s v="Bachelors"/>
    <x v="2"/>
    <x v="1"/>
    <x v="1"/>
    <s v="5-10 Miles"/>
    <s v="Pacific"/>
    <x v="13"/>
    <x v="0"/>
  </r>
  <r>
    <n v="26150"/>
    <s v="S"/>
    <s v="F"/>
    <n v="70000"/>
    <n v="0"/>
    <s v="Bachelors"/>
    <x v="2"/>
    <x v="1"/>
    <x v="1"/>
    <s v="0-1 Miles"/>
    <s v="Pacific"/>
    <x v="3"/>
    <x v="1"/>
  </r>
  <r>
    <n v="24151"/>
    <s v="S"/>
    <s v="M"/>
    <n v="20000"/>
    <n v="1"/>
    <s v="Bachelors"/>
    <x v="1"/>
    <x v="1"/>
    <x v="0"/>
    <s v="0-1 Miles"/>
    <s v="Europe"/>
    <x v="36"/>
    <x v="0"/>
  </r>
  <r>
    <n v="23962"/>
    <s v="M"/>
    <s v="F"/>
    <n v="10000"/>
    <n v="0"/>
    <s v="Partial High School"/>
    <x v="3"/>
    <x v="0"/>
    <x v="2"/>
    <s v="1-2 Miles"/>
    <s v="Europe"/>
    <x v="21"/>
    <x v="0"/>
  </r>
  <r>
    <n v="17793"/>
    <s v="M"/>
    <s v="F"/>
    <n v="40000"/>
    <n v="0"/>
    <s v="Bachelors"/>
    <x v="1"/>
    <x v="0"/>
    <x v="0"/>
    <s v="0-1 Miles"/>
    <s v="Europe"/>
    <x v="13"/>
    <x v="1"/>
  </r>
  <r>
    <n v="14926"/>
    <s v="M"/>
    <s v="M"/>
    <n v="30000"/>
    <n v="1"/>
    <s v="Bachelors"/>
    <x v="1"/>
    <x v="0"/>
    <x v="0"/>
    <s v="0-1 Miles"/>
    <s v="Europe"/>
    <x v="13"/>
    <x v="1"/>
  </r>
  <r>
    <n v="16163"/>
    <s v="S"/>
    <s v="M"/>
    <n v="60000"/>
    <n v="2"/>
    <s v="Bachelors"/>
    <x v="2"/>
    <x v="0"/>
    <x v="1"/>
    <s v="2-5 Miles"/>
    <s v="Pacific"/>
    <x v="13"/>
    <x v="1"/>
  </r>
  <r>
    <n v="21365"/>
    <s v="M"/>
    <s v="F"/>
    <n v="10000"/>
    <n v="2"/>
    <s v="Partial High School"/>
    <x v="1"/>
    <x v="0"/>
    <x v="2"/>
    <s v="5-10 Miles"/>
    <s v="Pacific"/>
    <x v="7"/>
    <x v="0"/>
  </r>
  <r>
    <n v="27771"/>
    <s v="S"/>
    <s v="M"/>
    <n v="30000"/>
    <n v="1"/>
    <s v="Bachelors"/>
    <x v="1"/>
    <x v="0"/>
    <x v="1"/>
    <s v="1-2 Miles"/>
    <s v="Europe"/>
    <x v="32"/>
    <x v="1"/>
  </r>
  <r>
    <n v="26167"/>
    <s v="S"/>
    <s v="F"/>
    <n v="40000"/>
    <n v="2"/>
    <s v="Bachelors"/>
    <x v="4"/>
    <x v="1"/>
    <x v="1"/>
    <s v="5-10 Miles"/>
    <s v="Pacific"/>
    <x v="39"/>
    <x v="1"/>
  </r>
  <r>
    <n v="25792"/>
    <s v="S"/>
    <s v="F"/>
    <n v="110000"/>
    <n v="3"/>
    <s v="Bachelors"/>
    <x v="4"/>
    <x v="0"/>
    <x v="3"/>
    <s v="10+ Miles"/>
    <s v="Europe"/>
    <x v="39"/>
    <x v="0"/>
  </r>
  <r>
    <n v="11555"/>
    <s v="M"/>
    <s v="F"/>
    <n v="40000"/>
    <n v="1"/>
    <s v="Bachelors"/>
    <x v="1"/>
    <x v="0"/>
    <x v="0"/>
    <s v="0-1 Miles"/>
    <s v="Europe"/>
    <x v="48"/>
    <x v="0"/>
  </r>
  <r>
    <n v="22381"/>
    <s v="M"/>
    <s v="M"/>
    <n v="10000"/>
    <n v="1"/>
    <s v="Graduate Degree"/>
    <x v="3"/>
    <x v="0"/>
    <x v="0"/>
    <s v="0-1 Miles"/>
    <s v="Europe"/>
    <x v="20"/>
    <x v="0"/>
  </r>
  <r>
    <n v="17882"/>
    <s v="M"/>
    <s v="M"/>
    <n v="20000"/>
    <n v="1"/>
    <s v="Graduate Degree"/>
    <x v="1"/>
    <x v="0"/>
    <x v="0"/>
    <s v="0-1 Miles"/>
    <s v="Europe"/>
    <x v="20"/>
    <x v="0"/>
  </r>
  <r>
    <n v="22174"/>
    <s v="M"/>
    <s v="M"/>
    <n v="30000"/>
    <n v="3"/>
    <s v="High School"/>
    <x v="0"/>
    <x v="0"/>
    <x v="2"/>
    <s v="5-10 Miles"/>
    <s v="Pacific"/>
    <x v="9"/>
    <x v="1"/>
  </r>
  <r>
    <n v="22439"/>
    <s v="M"/>
    <s v="F"/>
    <n v="30000"/>
    <n v="0"/>
    <s v="Bachelors"/>
    <x v="1"/>
    <x v="0"/>
    <x v="0"/>
    <s v="0-1 Miles"/>
    <s v="Europe"/>
    <x v="34"/>
    <x v="1"/>
  </r>
  <r>
    <n v="18012"/>
    <s v="M"/>
    <s v="F"/>
    <n v="40000"/>
    <n v="1"/>
    <s v="Bachelors"/>
    <x v="0"/>
    <x v="0"/>
    <x v="0"/>
    <s v="0-1 Miles"/>
    <s v="Europe"/>
    <x v="3"/>
    <x v="0"/>
  </r>
  <r>
    <n v="27582"/>
    <s v="S"/>
    <s v="F"/>
    <n v="90000"/>
    <n v="2"/>
    <s v="Bachelors"/>
    <x v="2"/>
    <x v="1"/>
    <x v="0"/>
    <s v="0-1 Miles"/>
    <s v="Pacific"/>
    <x v="4"/>
    <x v="1"/>
  </r>
  <r>
    <n v="12744"/>
    <s v="S"/>
    <s v="F"/>
    <n v="40000"/>
    <n v="2"/>
    <s v="Partial College"/>
    <x v="1"/>
    <x v="0"/>
    <x v="0"/>
    <s v="0-1 Miles"/>
    <s v="Europe"/>
    <x v="6"/>
    <x v="0"/>
  </r>
  <r>
    <n v="22821"/>
    <s v="M"/>
    <s v="F"/>
    <n v="130000"/>
    <n v="3"/>
    <s v="Partial College"/>
    <x v="2"/>
    <x v="0"/>
    <x v="3"/>
    <s v="0-1 Miles"/>
    <s v="Europe"/>
    <x v="31"/>
    <x v="0"/>
  </r>
  <r>
    <n v="20171"/>
    <s v="M"/>
    <s v="F"/>
    <n v="20000"/>
    <n v="2"/>
    <s v="Partial College"/>
    <x v="3"/>
    <x v="0"/>
    <x v="1"/>
    <s v="0-1 Miles"/>
    <s v="Europe"/>
    <x v="30"/>
    <x v="1"/>
  </r>
  <r>
    <n v="11116"/>
    <s v="M"/>
    <s v="M"/>
    <n v="70000"/>
    <n v="5"/>
    <s v="Partial College"/>
    <x v="0"/>
    <x v="0"/>
    <x v="2"/>
    <s v="5-10 Miles"/>
    <s v="Pacific"/>
    <x v="1"/>
    <x v="0"/>
  </r>
  <r>
    <n v="20053"/>
    <s v="S"/>
    <s v="M"/>
    <n v="40000"/>
    <n v="2"/>
    <s v="Partial College"/>
    <x v="1"/>
    <x v="0"/>
    <x v="0"/>
    <s v="0-1 Miles"/>
    <s v="Europe"/>
    <x v="17"/>
    <x v="0"/>
  </r>
  <r>
    <n v="25266"/>
    <s v="S"/>
    <s v="F"/>
    <n v="30000"/>
    <n v="2"/>
    <s v="Partial College"/>
    <x v="1"/>
    <x v="1"/>
    <x v="2"/>
    <s v="5-10 Miles"/>
    <s v="Pacific"/>
    <x v="41"/>
    <x v="0"/>
  </r>
  <r>
    <n v="17960"/>
    <s v="M"/>
    <s v="F"/>
    <n v="40000"/>
    <n v="0"/>
    <s v="Graduate Degree"/>
    <x v="1"/>
    <x v="0"/>
    <x v="0"/>
    <s v="0-1 Miles"/>
    <s v="Europe"/>
    <x v="11"/>
    <x v="1"/>
  </r>
  <r>
    <n v="13961"/>
    <s v="M"/>
    <s v="F"/>
    <n v="80000"/>
    <n v="5"/>
    <s v="Graduate Degree"/>
    <x v="4"/>
    <x v="0"/>
    <x v="4"/>
    <s v="0-1 Miles"/>
    <s v="Pacific"/>
    <x v="8"/>
    <x v="0"/>
  </r>
  <r>
    <n v="11897"/>
    <s v="S"/>
    <s v="M"/>
    <n v="60000"/>
    <n v="2"/>
    <s v="Bachelors"/>
    <x v="2"/>
    <x v="1"/>
    <x v="1"/>
    <s v="0-1 Miles"/>
    <s v="Pacific"/>
    <x v="34"/>
    <x v="1"/>
  </r>
  <r>
    <n v="11139"/>
    <s v="S"/>
    <s v="F"/>
    <n v="30000"/>
    <n v="2"/>
    <s v="Partial College"/>
    <x v="1"/>
    <x v="1"/>
    <x v="2"/>
    <s v="5-10 Miles"/>
    <s v="Pacific"/>
    <x v="41"/>
    <x v="0"/>
  </r>
  <r>
    <n v="11576"/>
    <s v="M"/>
    <s v="M"/>
    <n v="30000"/>
    <n v="1"/>
    <s v="Bachelors"/>
    <x v="0"/>
    <x v="0"/>
    <x v="2"/>
    <s v="0-1 Miles"/>
    <s v="Europe"/>
    <x v="3"/>
    <x v="1"/>
  </r>
  <r>
    <n v="19255"/>
    <s v="S"/>
    <s v="M"/>
    <n v="10000"/>
    <n v="2"/>
    <s v="Partial College"/>
    <x v="3"/>
    <x v="0"/>
    <x v="1"/>
    <s v="0-1 Miles"/>
    <s v="Europe"/>
    <x v="36"/>
    <x v="1"/>
  </r>
  <r>
    <n v="18153"/>
    <s v="M"/>
    <s v="F"/>
    <n v="100000"/>
    <n v="2"/>
    <s v="Bachelors"/>
    <x v="4"/>
    <x v="0"/>
    <x v="3"/>
    <s v="10+ Miles"/>
    <s v="Europe"/>
    <x v="14"/>
    <x v="0"/>
  </r>
  <r>
    <n v="14547"/>
    <s v="M"/>
    <s v="M"/>
    <n v="10000"/>
    <n v="2"/>
    <s v="Partial College"/>
    <x v="3"/>
    <x v="0"/>
    <x v="0"/>
    <s v="1-2 Miles"/>
    <s v="Europe"/>
    <x v="36"/>
    <x v="0"/>
  </r>
  <r>
    <n v="24901"/>
    <s v="S"/>
    <s v="M"/>
    <n v="110000"/>
    <n v="0"/>
    <s v="Partial College"/>
    <x v="4"/>
    <x v="1"/>
    <x v="4"/>
    <s v="10+ Miles"/>
    <s v="Pacific"/>
    <x v="21"/>
    <x v="1"/>
  </r>
  <r>
    <n v="27169"/>
    <s v="S"/>
    <s v="M"/>
    <n v="30000"/>
    <n v="0"/>
    <s v="High School"/>
    <x v="3"/>
    <x v="0"/>
    <x v="1"/>
    <s v="2-5 Miles"/>
    <s v="Europe"/>
    <x v="17"/>
    <x v="1"/>
  </r>
  <r>
    <n v="14805"/>
    <s v="S"/>
    <s v="F"/>
    <n v="10000"/>
    <n v="3"/>
    <s v="Partial High School"/>
    <x v="3"/>
    <x v="0"/>
    <x v="2"/>
    <s v="0-1 Miles"/>
    <s v="Europe"/>
    <x v="1"/>
    <x v="0"/>
  </r>
  <r>
    <n v="15822"/>
    <s v="M"/>
    <s v="M"/>
    <n v="40000"/>
    <n v="2"/>
    <s v="Bachelors"/>
    <x v="4"/>
    <x v="0"/>
    <x v="2"/>
    <s v="0-1 Miles"/>
    <s v="Pacific"/>
    <x v="41"/>
    <x v="0"/>
  </r>
  <r>
    <n v="19389"/>
    <s v="S"/>
    <s v="M"/>
    <n v="30000"/>
    <n v="0"/>
    <s v="Partial College"/>
    <x v="1"/>
    <x v="1"/>
    <x v="1"/>
    <s v="2-5 Miles"/>
    <s v="Europe"/>
    <x v="26"/>
    <x v="0"/>
  </r>
  <r>
    <n v="17048"/>
    <s v="S"/>
    <s v="F"/>
    <n v="90000"/>
    <n v="1"/>
    <s v="Graduate Degree"/>
    <x v="4"/>
    <x v="0"/>
    <x v="0"/>
    <s v="0-1 Miles"/>
    <s v="Pacific"/>
    <x v="4"/>
    <x v="1"/>
  </r>
  <r>
    <n v="22204"/>
    <s v="M"/>
    <s v="M"/>
    <n v="110000"/>
    <n v="4"/>
    <s v="Bachelors"/>
    <x v="4"/>
    <x v="0"/>
    <x v="4"/>
    <s v="2-5 Miles"/>
    <s v="Pacific"/>
    <x v="28"/>
    <x v="0"/>
  </r>
  <r>
    <n v="12718"/>
    <s v="S"/>
    <s v="F"/>
    <n v="30000"/>
    <n v="0"/>
    <s v="Partial College"/>
    <x v="1"/>
    <x v="0"/>
    <x v="1"/>
    <s v="2-5 Miles"/>
    <s v="Europe"/>
    <x v="23"/>
    <x v="0"/>
  </r>
  <r>
    <n v="15019"/>
    <s v="S"/>
    <s v="F"/>
    <n v="30000"/>
    <n v="3"/>
    <s v="High School"/>
    <x v="0"/>
    <x v="0"/>
    <x v="2"/>
    <s v="5-10 Miles"/>
    <s v="Pacific"/>
    <x v="10"/>
    <x v="0"/>
  </r>
  <r>
    <n v="28488"/>
    <s v="S"/>
    <s v="M"/>
    <n v="20000"/>
    <n v="0"/>
    <s v="Partial College"/>
    <x v="3"/>
    <x v="0"/>
    <x v="0"/>
    <s v="0-1 Miles"/>
    <s v="Pacific"/>
    <x v="26"/>
    <x v="1"/>
  </r>
  <r>
    <n v="21891"/>
    <s v="M"/>
    <s v="F"/>
    <n v="110000"/>
    <n v="0"/>
    <s v="High School"/>
    <x v="4"/>
    <x v="0"/>
    <x v="4"/>
    <s v="10+ Miles"/>
    <s v="Pacific"/>
    <x v="17"/>
    <x v="1"/>
  </r>
  <r>
    <n v="27814"/>
    <s v="S"/>
    <s v="F"/>
    <n v="30000"/>
    <n v="3"/>
    <s v="Partial College"/>
    <x v="1"/>
    <x v="1"/>
    <x v="1"/>
    <s v="0-1 Miles"/>
    <s v="Europe"/>
    <x v="22"/>
    <x v="0"/>
  </r>
  <r>
    <n v="22175"/>
    <s v="M"/>
    <s v="F"/>
    <n v="30000"/>
    <n v="3"/>
    <s v="High School"/>
    <x v="0"/>
    <x v="0"/>
    <x v="2"/>
    <s v="5-10 Miles"/>
    <s v="Pacific"/>
    <x v="39"/>
    <x v="1"/>
  </r>
  <r>
    <n v="29447"/>
    <s v="S"/>
    <s v="F"/>
    <n v="10000"/>
    <n v="2"/>
    <s v="Bachelors"/>
    <x v="1"/>
    <x v="1"/>
    <x v="1"/>
    <s v="2-5 Miles"/>
    <s v="Europe"/>
    <x v="35"/>
    <x v="0"/>
  </r>
  <r>
    <n v="19784"/>
    <s v="M"/>
    <s v="F"/>
    <n v="80000"/>
    <n v="2"/>
    <s v="High School"/>
    <x v="0"/>
    <x v="0"/>
    <x v="2"/>
    <s v="5-10 Miles"/>
    <s v="Pacific"/>
    <x v="5"/>
    <x v="1"/>
  </r>
  <r>
    <n v="27824"/>
    <s v="S"/>
    <s v="F"/>
    <n v="30000"/>
    <n v="3"/>
    <s v="Partial College"/>
    <x v="1"/>
    <x v="0"/>
    <x v="2"/>
    <s v="0-1 Miles"/>
    <s v="Europe"/>
    <x v="26"/>
    <x v="1"/>
  </r>
  <r>
    <n v="24093"/>
    <s v="S"/>
    <s v="F"/>
    <n v="80000"/>
    <n v="0"/>
    <s v="Graduate Degree"/>
    <x v="0"/>
    <x v="1"/>
    <x v="0"/>
    <s v="0-1 Miles"/>
    <s v="Europe"/>
    <x v="8"/>
    <x v="1"/>
  </r>
  <r>
    <n v="19618"/>
    <s v="M"/>
    <s v="M"/>
    <n v="70000"/>
    <n v="5"/>
    <s v="Partial College"/>
    <x v="0"/>
    <x v="0"/>
    <x v="2"/>
    <s v="0-1 Miles"/>
    <s v="Pacific"/>
    <x v="20"/>
    <x v="0"/>
  </r>
  <r>
    <n v="21561"/>
    <s v="S"/>
    <s v="M"/>
    <n v="90000"/>
    <n v="0"/>
    <s v="Bachelors"/>
    <x v="2"/>
    <x v="1"/>
    <x v="4"/>
    <s v="10+ Miles"/>
    <s v="Pacific"/>
    <x v="17"/>
    <x v="1"/>
  </r>
  <r>
    <n v="11061"/>
    <s v="M"/>
    <s v="M"/>
    <n v="70000"/>
    <n v="2"/>
    <s v="Partial College"/>
    <x v="0"/>
    <x v="0"/>
    <x v="2"/>
    <s v="5-10 Miles"/>
    <s v="Pacific"/>
    <x v="31"/>
    <x v="1"/>
  </r>
  <r>
    <n v="26651"/>
    <s v="S"/>
    <s v="M"/>
    <n v="80000"/>
    <n v="4"/>
    <s v="Graduate Degree"/>
    <x v="4"/>
    <x v="0"/>
    <x v="0"/>
    <s v="0-1 Miles"/>
    <s v="Pacific"/>
    <x v="4"/>
    <x v="1"/>
  </r>
  <r>
    <n v="21108"/>
    <s v="M"/>
    <s v="F"/>
    <n v="40000"/>
    <n v="1"/>
    <s v="Bachelors"/>
    <x v="0"/>
    <x v="0"/>
    <x v="1"/>
    <s v="0-1 Miles"/>
    <s v="Europe"/>
    <x v="1"/>
    <x v="1"/>
  </r>
  <r>
    <n v="12731"/>
    <s v="S"/>
    <s v="M"/>
    <n v="30000"/>
    <n v="0"/>
    <s v="High School"/>
    <x v="3"/>
    <x v="1"/>
    <x v="1"/>
    <s v="1-2 Miles"/>
    <s v="Europe"/>
    <x v="21"/>
    <x v="0"/>
  </r>
  <r>
    <n v="25307"/>
    <s v="M"/>
    <s v="F"/>
    <n v="40000"/>
    <n v="1"/>
    <s v="Bachelors"/>
    <x v="0"/>
    <x v="0"/>
    <x v="1"/>
    <s v="1-2 Miles"/>
    <s v="Europe"/>
    <x v="21"/>
    <x v="1"/>
  </r>
  <r>
    <n v="14278"/>
    <s v="M"/>
    <s v="F"/>
    <n v="130000"/>
    <n v="0"/>
    <s v="Graduate Degree"/>
    <x v="4"/>
    <x v="0"/>
    <x v="1"/>
    <s v="10+ Miles"/>
    <s v="Pacific"/>
    <x v="28"/>
    <x v="0"/>
  </r>
  <r>
    <n v="20711"/>
    <s v="M"/>
    <s v="F"/>
    <n v="40000"/>
    <n v="1"/>
    <s v="Bachelors"/>
    <x v="0"/>
    <x v="0"/>
    <x v="0"/>
    <s v="1-2 Miles"/>
    <s v="Europe"/>
    <x v="21"/>
    <x v="1"/>
  </r>
  <r>
    <n v="11383"/>
    <s v="M"/>
    <s v="F"/>
    <n v="30000"/>
    <n v="3"/>
    <s v="Graduate Degree"/>
    <x v="1"/>
    <x v="0"/>
    <x v="0"/>
    <s v="0-1 Miles"/>
    <s v="Europe"/>
    <x v="30"/>
    <x v="0"/>
  </r>
  <r>
    <n v="12497"/>
    <s v="M"/>
    <s v="F"/>
    <n v="40000"/>
    <n v="1"/>
    <s v="Bachelors"/>
    <x v="0"/>
    <x v="0"/>
    <x v="0"/>
    <s v="0-1 Miles"/>
    <s v="Europe"/>
    <x v="0"/>
    <x v="0"/>
  </r>
  <r>
    <n v="16559"/>
    <s v="S"/>
    <s v="F"/>
    <n v="10000"/>
    <n v="2"/>
    <s v="High School"/>
    <x v="3"/>
    <x v="0"/>
    <x v="0"/>
    <s v="0-1 Miles"/>
    <s v="Europe"/>
    <x v="4"/>
    <x v="1"/>
  </r>
  <r>
    <n v="11585"/>
    <s v="M"/>
    <s v="F"/>
    <n v="40000"/>
    <n v="1"/>
    <s v="Bachelors"/>
    <x v="0"/>
    <x v="0"/>
    <x v="0"/>
    <s v="0-1 Miles"/>
    <s v="Europe"/>
    <x v="3"/>
    <x v="0"/>
  </r>
  <r>
    <n v="20277"/>
    <s v="M"/>
    <s v="F"/>
    <n v="30000"/>
    <n v="2"/>
    <s v="Partial College"/>
    <x v="1"/>
    <x v="1"/>
    <x v="2"/>
    <s v="0-1 Miles"/>
    <s v="Pacific"/>
    <x v="45"/>
    <x v="0"/>
  </r>
  <r>
    <n v="26765"/>
    <s v="S"/>
    <s v="F"/>
    <n v="70000"/>
    <n v="5"/>
    <s v="Partial College"/>
    <x v="0"/>
    <x v="0"/>
    <x v="2"/>
    <s v="5-10 Miles"/>
    <s v="Pacific"/>
    <x v="12"/>
    <x v="0"/>
  </r>
  <r>
    <n v="12389"/>
    <s v="S"/>
    <s v="M"/>
    <n v="30000"/>
    <n v="0"/>
    <s v="High School"/>
    <x v="3"/>
    <x v="1"/>
    <x v="1"/>
    <s v="2-5 Miles"/>
    <s v="Europe"/>
    <x v="17"/>
    <x v="0"/>
  </r>
  <r>
    <n v="13585"/>
    <s v="M"/>
    <s v="F"/>
    <n v="80000"/>
    <n v="4"/>
    <s v="Partial College"/>
    <x v="2"/>
    <x v="1"/>
    <x v="1"/>
    <s v="2-5 Miles"/>
    <s v="Europe"/>
    <x v="39"/>
    <x v="1"/>
  </r>
  <r>
    <n v="26385"/>
    <s v="S"/>
    <s v="M"/>
    <n v="120000"/>
    <n v="3"/>
    <s v="High School"/>
    <x v="2"/>
    <x v="1"/>
    <x v="3"/>
    <s v="5-10 Miles"/>
    <s v="Europe"/>
    <x v="5"/>
    <x v="0"/>
  </r>
  <r>
    <n v="12236"/>
    <s v="M"/>
    <s v="F"/>
    <n v="20000"/>
    <n v="1"/>
    <s v="Partial College"/>
    <x v="3"/>
    <x v="0"/>
    <x v="0"/>
    <s v="0-1 Miles"/>
    <s v="Europe"/>
    <x v="27"/>
    <x v="0"/>
  </r>
  <r>
    <n v="21560"/>
    <s v="M"/>
    <s v="M"/>
    <n v="120000"/>
    <n v="0"/>
    <s v="Partial High School"/>
    <x v="2"/>
    <x v="0"/>
    <x v="3"/>
    <s v="10+ Miles"/>
    <s v="Pacific"/>
    <x v="21"/>
    <x v="1"/>
  </r>
  <r>
    <n v="21554"/>
    <s v="S"/>
    <s v="F"/>
    <n v="80000"/>
    <n v="0"/>
    <s v="Bachelors"/>
    <x v="2"/>
    <x v="1"/>
    <x v="4"/>
    <s v="10+ Miles"/>
    <s v="Pacific"/>
    <x v="6"/>
    <x v="0"/>
  </r>
  <r>
    <n v="13662"/>
    <s v="S"/>
    <s v="M"/>
    <n v="20000"/>
    <n v="0"/>
    <s v="Partial High School"/>
    <x v="3"/>
    <x v="0"/>
    <x v="2"/>
    <s v="1-2 Miles"/>
    <s v="Europe"/>
    <x v="23"/>
    <x v="1"/>
  </r>
  <r>
    <n v="13089"/>
    <s v="M"/>
    <s v="F"/>
    <n v="120000"/>
    <n v="1"/>
    <s v="Bachelors"/>
    <x v="4"/>
    <x v="0"/>
    <x v="2"/>
    <s v="0-1 Miles"/>
    <s v="Pacific"/>
    <x v="30"/>
    <x v="1"/>
  </r>
  <r>
    <n v="14791"/>
    <s v="M"/>
    <s v="F"/>
    <n v="40000"/>
    <n v="0"/>
    <s v="Bachelors"/>
    <x v="1"/>
    <x v="0"/>
    <x v="0"/>
    <s v="0-1 Miles"/>
    <s v="Europe"/>
    <x v="32"/>
    <x v="1"/>
  </r>
  <r>
    <n v="19331"/>
    <s v="S"/>
    <s v="M"/>
    <n v="20000"/>
    <n v="2"/>
    <s v="High School"/>
    <x v="3"/>
    <x v="0"/>
    <x v="1"/>
    <s v="0-1 Miles"/>
    <s v="Europe"/>
    <x v="8"/>
    <x v="0"/>
  </r>
  <r>
    <n v="17754"/>
    <s v="S"/>
    <s v="F"/>
    <n v="30000"/>
    <n v="3"/>
    <s v="Bachelors"/>
    <x v="1"/>
    <x v="0"/>
    <x v="0"/>
    <s v="0-1 Miles"/>
    <s v="Europe"/>
    <x v="30"/>
    <x v="1"/>
  </r>
  <r>
    <n v="11149"/>
    <s v="M"/>
    <s v="M"/>
    <n v="40000"/>
    <n v="2"/>
    <s v="Bachelors"/>
    <x v="4"/>
    <x v="0"/>
    <x v="2"/>
    <s v="0-1 Miles"/>
    <s v="Pacific"/>
    <x v="27"/>
    <x v="0"/>
  </r>
  <r>
    <n v="16549"/>
    <s v="S"/>
    <s v="F"/>
    <n v="30000"/>
    <n v="3"/>
    <s v="Bachelors"/>
    <x v="1"/>
    <x v="0"/>
    <x v="0"/>
    <s v="0-1 Miles"/>
    <s v="Europe"/>
    <x v="15"/>
    <x v="1"/>
  </r>
  <r>
    <n v="24305"/>
    <s v="S"/>
    <s v="M"/>
    <n v="100000"/>
    <n v="1"/>
    <s v="Bachelors"/>
    <x v="4"/>
    <x v="1"/>
    <x v="4"/>
    <s v="0-1 Miles"/>
    <s v="Pacific"/>
    <x v="30"/>
    <x v="1"/>
  </r>
  <r>
    <n v="18253"/>
    <s v="M"/>
    <s v="F"/>
    <n v="80000"/>
    <n v="5"/>
    <s v="Graduate Degree"/>
    <x v="4"/>
    <x v="0"/>
    <x v="4"/>
    <s v="0-1 Miles"/>
    <s v="Pacific"/>
    <x v="8"/>
    <x v="0"/>
  </r>
  <r>
    <n v="20147"/>
    <s v="M"/>
    <s v="F"/>
    <n v="30000"/>
    <n v="1"/>
    <s v="Bachelors"/>
    <x v="1"/>
    <x v="0"/>
    <x v="0"/>
    <s v="0-1 Miles"/>
    <s v="Europe"/>
    <x v="27"/>
    <x v="0"/>
  </r>
  <r>
    <n v="15612"/>
    <s v="S"/>
    <s v="M"/>
    <n v="30000"/>
    <n v="0"/>
    <s v="High School"/>
    <x v="3"/>
    <x v="1"/>
    <x v="1"/>
    <s v="1-2 Miles"/>
    <s v="Europe"/>
    <x v="26"/>
    <x v="0"/>
  </r>
  <r>
    <n v="28323"/>
    <s v="S"/>
    <s v="M"/>
    <n v="70000"/>
    <n v="0"/>
    <s v="Bachelors"/>
    <x v="2"/>
    <x v="1"/>
    <x v="2"/>
    <s v="5-10 Miles"/>
    <s v="Pacific"/>
    <x v="1"/>
    <x v="1"/>
  </r>
  <r>
    <n v="22634"/>
    <s v="S"/>
    <s v="F"/>
    <n v="40000"/>
    <n v="0"/>
    <s v="Graduate Degree"/>
    <x v="1"/>
    <x v="0"/>
    <x v="0"/>
    <s v="0-1 Miles"/>
    <s v="Europe"/>
    <x v="13"/>
    <x v="1"/>
  </r>
  <r>
    <n v="15665"/>
    <s v="M"/>
    <s v="F"/>
    <n v="30000"/>
    <n v="0"/>
    <s v="Bachelors"/>
    <x v="1"/>
    <x v="0"/>
    <x v="0"/>
    <s v="0-1 Miles"/>
    <s v="Europe"/>
    <x v="15"/>
    <x v="1"/>
  </r>
  <r>
    <n v="27585"/>
    <s v="M"/>
    <s v="F"/>
    <n v="90000"/>
    <n v="2"/>
    <s v="Bachelors"/>
    <x v="2"/>
    <x v="1"/>
    <x v="0"/>
    <s v="0-1 Miles"/>
    <s v="Pacific"/>
    <x v="4"/>
    <x v="1"/>
  </r>
  <r>
    <n v="19748"/>
    <s v="M"/>
    <s v="M"/>
    <n v="20000"/>
    <n v="4"/>
    <s v="High School"/>
    <x v="0"/>
    <x v="1"/>
    <x v="2"/>
    <s v="1-2 Miles"/>
    <s v="Pacific"/>
    <x v="2"/>
    <x v="0"/>
  </r>
  <r>
    <n v="21974"/>
    <s v="S"/>
    <s v="F"/>
    <n v="70000"/>
    <n v="0"/>
    <s v="Bachelors"/>
    <x v="2"/>
    <x v="0"/>
    <x v="1"/>
    <s v="5-10 Miles"/>
    <s v="Pacific"/>
    <x v="0"/>
    <x v="1"/>
  </r>
  <r>
    <n v="14032"/>
    <s v="M"/>
    <s v="M"/>
    <n v="70000"/>
    <n v="2"/>
    <s v="High School"/>
    <x v="0"/>
    <x v="1"/>
    <x v="2"/>
    <s v="1-2 Miles"/>
    <s v="Pacific"/>
    <x v="5"/>
    <x v="1"/>
  </r>
  <r>
    <n v="22610"/>
    <s v="M"/>
    <s v="M"/>
    <n v="30000"/>
    <n v="0"/>
    <s v="Bachelors"/>
    <x v="1"/>
    <x v="0"/>
    <x v="0"/>
    <s v="0-1 Miles"/>
    <s v="Europe"/>
    <x v="11"/>
    <x v="1"/>
  </r>
  <r>
    <n v="26984"/>
    <s v="M"/>
    <s v="M"/>
    <n v="40000"/>
    <n v="1"/>
    <s v="Bachelors"/>
    <x v="0"/>
    <x v="0"/>
    <x v="1"/>
    <s v="0-1 Miles"/>
    <s v="Europe"/>
    <x v="21"/>
    <x v="1"/>
  </r>
  <r>
    <n v="18294"/>
    <s v="M"/>
    <s v="F"/>
    <n v="90000"/>
    <n v="1"/>
    <s v="Bachelors"/>
    <x v="2"/>
    <x v="0"/>
    <x v="1"/>
    <s v="5-10 Miles"/>
    <s v="Pacific"/>
    <x v="30"/>
    <x v="0"/>
  </r>
  <r>
    <n v="28564"/>
    <s v="S"/>
    <s v="F"/>
    <n v="40000"/>
    <n v="2"/>
    <s v="Partial College"/>
    <x v="1"/>
    <x v="0"/>
    <x v="0"/>
    <s v="1-2 Miles"/>
    <s v="Europe"/>
    <x v="6"/>
    <x v="1"/>
  </r>
  <r>
    <n v="28521"/>
    <s v="S"/>
    <s v="M"/>
    <n v="40000"/>
    <n v="0"/>
    <s v="Graduate Degree"/>
    <x v="1"/>
    <x v="1"/>
    <x v="0"/>
    <s v="0-1 Miles"/>
    <s v="Europe"/>
    <x v="4"/>
    <x v="1"/>
  </r>
  <r>
    <n v="15450"/>
    <s v="M"/>
    <s v="M"/>
    <n v="10000"/>
    <n v="1"/>
    <s v="Graduate Degree"/>
    <x v="1"/>
    <x v="0"/>
    <x v="0"/>
    <s v="0-1 Miles"/>
    <s v="Europe"/>
    <x v="43"/>
    <x v="0"/>
  </r>
  <r>
    <n v="25681"/>
    <s v="S"/>
    <s v="F"/>
    <n v="30000"/>
    <n v="0"/>
    <s v="Partial College"/>
    <x v="1"/>
    <x v="1"/>
    <x v="1"/>
    <s v="2-5 Miles"/>
    <s v="Europe"/>
    <x v="23"/>
    <x v="1"/>
  </r>
  <r>
    <n v="19491"/>
    <s v="S"/>
    <s v="M"/>
    <n v="30000"/>
    <n v="2"/>
    <s v="Partial College"/>
    <x v="1"/>
    <x v="0"/>
    <x v="2"/>
    <s v="0-1 Miles"/>
    <s v="Europe"/>
    <x v="0"/>
    <x v="0"/>
  </r>
  <r>
    <n v="26415"/>
    <s v="M"/>
    <s v="F"/>
    <n v="90000"/>
    <n v="4"/>
    <s v="Partial High School"/>
    <x v="0"/>
    <x v="0"/>
    <x v="3"/>
    <s v="10+ Miles"/>
    <s v="Europe"/>
    <x v="7"/>
    <x v="0"/>
  </r>
  <r>
    <n v="12821"/>
    <s v="M"/>
    <s v="M"/>
    <n v="40000"/>
    <n v="0"/>
    <s v="Bachelors"/>
    <x v="1"/>
    <x v="0"/>
    <x v="0"/>
    <s v="0-1 Miles"/>
    <s v="Europe"/>
    <x v="32"/>
    <x v="0"/>
  </r>
  <r>
    <n v="15629"/>
    <s v="S"/>
    <s v="F"/>
    <n v="10000"/>
    <n v="0"/>
    <s v="Partial High School"/>
    <x v="3"/>
    <x v="0"/>
    <x v="2"/>
    <s v="1-2 Miles"/>
    <s v="Europe"/>
    <x v="17"/>
    <x v="0"/>
  </r>
  <r>
    <n v="27835"/>
    <s v="M"/>
    <s v="M"/>
    <n v="20000"/>
    <n v="0"/>
    <s v="Partial High School"/>
    <x v="3"/>
    <x v="0"/>
    <x v="2"/>
    <s v="0-1 Miles"/>
    <s v="Europe"/>
    <x v="21"/>
    <x v="0"/>
  </r>
  <r>
    <n v="11738"/>
    <s v="M"/>
    <s v="M"/>
    <n v="60000"/>
    <n v="4"/>
    <s v="Bachelors"/>
    <x v="2"/>
    <x v="0"/>
    <x v="0"/>
    <s v="2-5 Miles"/>
    <s v="North America"/>
    <x v="30"/>
    <x v="0"/>
  </r>
  <r>
    <n v="25065"/>
    <s v="M"/>
    <s v="M"/>
    <n v="70000"/>
    <n v="2"/>
    <s v="Partial High School"/>
    <x v="0"/>
    <x v="0"/>
    <x v="2"/>
    <s v="5-10 Miles"/>
    <s v="North America"/>
    <x v="28"/>
    <x v="0"/>
  </r>
  <r>
    <n v="26238"/>
    <s v="S"/>
    <s v="F"/>
    <n v="40000"/>
    <n v="3"/>
    <s v="Partial College"/>
    <x v="1"/>
    <x v="0"/>
    <x v="1"/>
    <s v="1-2 Miles"/>
    <s v="North America"/>
    <x v="23"/>
    <x v="1"/>
  </r>
  <r>
    <n v="23707"/>
    <s v="S"/>
    <s v="M"/>
    <n v="70000"/>
    <n v="5"/>
    <s v="Bachelors"/>
    <x v="4"/>
    <x v="0"/>
    <x v="4"/>
    <s v="10+ Miles"/>
    <s v="North America"/>
    <x v="2"/>
    <x v="1"/>
  </r>
  <r>
    <n v="27650"/>
    <s v="M"/>
    <s v="M"/>
    <n v="70000"/>
    <n v="4"/>
    <s v="High School"/>
    <x v="2"/>
    <x v="0"/>
    <x v="0"/>
    <s v="5-10 Miles"/>
    <s v="North America"/>
    <x v="36"/>
    <x v="0"/>
  </r>
  <r>
    <n v="24981"/>
    <s v="M"/>
    <s v="M"/>
    <n v="60000"/>
    <n v="2"/>
    <s v="Partial College"/>
    <x v="2"/>
    <x v="0"/>
    <x v="2"/>
    <s v="10+ Miles"/>
    <s v="North America"/>
    <x v="16"/>
    <x v="0"/>
  </r>
  <r>
    <n v="20678"/>
    <s v="S"/>
    <s v="F"/>
    <n v="60000"/>
    <n v="3"/>
    <s v="Bachelors"/>
    <x v="0"/>
    <x v="0"/>
    <x v="1"/>
    <s v="2-5 Miles"/>
    <s v="North America"/>
    <x v="8"/>
    <x v="1"/>
  </r>
  <r>
    <n v="15302"/>
    <s v="S"/>
    <s v="F"/>
    <n v="70000"/>
    <n v="1"/>
    <s v="Graduate Degree"/>
    <x v="2"/>
    <x v="0"/>
    <x v="0"/>
    <s v="2-5 Miles"/>
    <s v="North America"/>
    <x v="17"/>
    <x v="1"/>
  </r>
  <r>
    <n v="26012"/>
    <s v="M"/>
    <s v="M"/>
    <n v="80000"/>
    <n v="1"/>
    <s v="Partial College"/>
    <x v="0"/>
    <x v="0"/>
    <x v="1"/>
    <s v="2-5 Miles"/>
    <s v="North America"/>
    <x v="28"/>
    <x v="1"/>
  </r>
  <r>
    <n v="26575"/>
    <s v="S"/>
    <s v="F"/>
    <n v="40000"/>
    <n v="0"/>
    <s v="High School"/>
    <x v="0"/>
    <x v="1"/>
    <x v="2"/>
    <s v="1-2 Miles"/>
    <s v="North America"/>
    <x v="23"/>
    <x v="1"/>
  </r>
  <r>
    <n v="15559"/>
    <s v="M"/>
    <s v="M"/>
    <n v="60000"/>
    <n v="5"/>
    <s v="Bachelors"/>
    <x v="2"/>
    <x v="0"/>
    <x v="1"/>
    <s v="2-5 Miles"/>
    <s v="North America"/>
    <x v="15"/>
    <x v="0"/>
  </r>
  <r>
    <n v="19235"/>
    <s v="M"/>
    <s v="F"/>
    <n v="50000"/>
    <n v="0"/>
    <s v="Graduate Degree"/>
    <x v="0"/>
    <x v="0"/>
    <x v="0"/>
    <s v="0-1 Miles"/>
    <s v="North America"/>
    <x v="17"/>
    <x v="0"/>
  </r>
  <r>
    <n v="15275"/>
    <s v="M"/>
    <s v="M"/>
    <n v="40000"/>
    <n v="0"/>
    <s v="Partial College"/>
    <x v="0"/>
    <x v="0"/>
    <x v="1"/>
    <s v="5-10 Miles"/>
    <s v="North America"/>
    <x v="19"/>
    <x v="0"/>
  </r>
  <r>
    <n v="20339"/>
    <s v="M"/>
    <s v="F"/>
    <n v="130000"/>
    <n v="1"/>
    <s v="Bachelors"/>
    <x v="4"/>
    <x v="0"/>
    <x v="3"/>
    <s v="2-5 Miles"/>
    <s v="North America"/>
    <x v="20"/>
    <x v="1"/>
  </r>
  <r>
    <n v="25405"/>
    <s v="M"/>
    <s v="M"/>
    <n v="70000"/>
    <n v="2"/>
    <s v="Bachelors"/>
    <x v="0"/>
    <x v="0"/>
    <x v="1"/>
    <s v="2-5 Miles"/>
    <s v="North America"/>
    <x v="13"/>
    <x v="1"/>
  </r>
  <r>
    <n v="15940"/>
    <s v="M"/>
    <s v="M"/>
    <n v="100000"/>
    <n v="4"/>
    <s v="Partial College"/>
    <x v="2"/>
    <x v="0"/>
    <x v="3"/>
    <s v="0-1 Miles"/>
    <s v="North America"/>
    <x v="8"/>
    <x v="0"/>
  </r>
  <r>
    <n v="25074"/>
    <s v="M"/>
    <s v="F"/>
    <n v="70000"/>
    <n v="4"/>
    <s v="Bachelors"/>
    <x v="2"/>
    <x v="0"/>
    <x v="2"/>
    <s v="2-5 Miles"/>
    <s v="North America"/>
    <x v="0"/>
    <x v="1"/>
  </r>
  <r>
    <n v="24738"/>
    <s v="M"/>
    <s v="F"/>
    <n v="40000"/>
    <n v="1"/>
    <s v="Partial College"/>
    <x v="1"/>
    <x v="0"/>
    <x v="1"/>
    <s v="1-2 Miles"/>
    <s v="North America"/>
    <x v="36"/>
    <x v="1"/>
  </r>
  <r>
    <n v="16337"/>
    <s v="M"/>
    <s v="M"/>
    <n v="60000"/>
    <n v="0"/>
    <s v="Partial College"/>
    <x v="0"/>
    <x v="1"/>
    <x v="2"/>
    <s v="1-2 Miles"/>
    <s v="North America"/>
    <x v="19"/>
    <x v="0"/>
  </r>
  <r>
    <n v="24357"/>
    <s v="M"/>
    <s v="M"/>
    <n v="80000"/>
    <n v="3"/>
    <s v="Bachelors"/>
    <x v="2"/>
    <x v="0"/>
    <x v="1"/>
    <s v="2-5 Miles"/>
    <s v="North America"/>
    <x v="28"/>
    <x v="1"/>
  </r>
  <r>
    <n v="18613"/>
    <s v="S"/>
    <s v="M"/>
    <n v="70000"/>
    <n v="0"/>
    <s v="Bachelors"/>
    <x v="2"/>
    <x v="1"/>
    <x v="1"/>
    <s v="2-5 Miles"/>
    <s v="North America"/>
    <x v="34"/>
    <x v="1"/>
  </r>
  <r>
    <n v="12207"/>
    <s v="S"/>
    <s v="M"/>
    <n v="80000"/>
    <n v="4"/>
    <s v="Bachelors"/>
    <x v="4"/>
    <x v="0"/>
    <x v="0"/>
    <s v="5-10 Miles"/>
    <s v="North America"/>
    <x v="29"/>
    <x v="1"/>
  </r>
  <r>
    <n v="18052"/>
    <s v="M"/>
    <s v="F"/>
    <n v="60000"/>
    <n v="1"/>
    <s v="Partial College"/>
    <x v="0"/>
    <x v="0"/>
    <x v="1"/>
    <s v="0-1 Miles"/>
    <s v="North America"/>
    <x v="12"/>
    <x v="1"/>
  </r>
  <r>
    <n v="13353"/>
    <s v="S"/>
    <s v="F"/>
    <n v="60000"/>
    <n v="4"/>
    <s v="Graduate Degree"/>
    <x v="4"/>
    <x v="0"/>
    <x v="2"/>
    <s v="10+ Miles"/>
    <s v="North America"/>
    <x v="33"/>
    <x v="1"/>
  </r>
  <r>
    <n v="19399"/>
    <s v="S"/>
    <s v="M"/>
    <n v="40000"/>
    <n v="0"/>
    <s v="Bachelors"/>
    <x v="2"/>
    <x v="1"/>
    <x v="1"/>
    <s v="2-5 Miles"/>
    <s v="North America"/>
    <x v="12"/>
    <x v="0"/>
  </r>
  <r>
    <n v="16154"/>
    <s v="M"/>
    <s v="F"/>
    <n v="70000"/>
    <n v="5"/>
    <s v="Bachelors"/>
    <x v="2"/>
    <x v="0"/>
    <x v="2"/>
    <s v="2-5 Miles"/>
    <s v="North America"/>
    <x v="15"/>
    <x v="0"/>
  </r>
  <r>
    <n v="22219"/>
    <s v="M"/>
    <s v="F"/>
    <n v="60000"/>
    <n v="2"/>
    <s v="High School"/>
    <x v="2"/>
    <x v="0"/>
    <x v="2"/>
    <s v="5-10 Miles"/>
    <s v="North America"/>
    <x v="38"/>
    <x v="0"/>
  </r>
  <r>
    <n v="17269"/>
    <s v="S"/>
    <s v="M"/>
    <n v="60000"/>
    <n v="3"/>
    <s v="Bachelors"/>
    <x v="2"/>
    <x v="1"/>
    <x v="0"/>
    <s v="0-1 Miles"/>
    <s v="North America"/>
    <x v="15"/>
    <x v="1"/>
  </r>
  <r>
    <n v="23586"/>
    <s v="M"/>
    <s v="F"/>
    <n v="80000"/>
    <n v="0"/>
    <s v="Bachelors"/>
    <x v="4"/>
    <x v="0"/>
    <x v="1"/>
    <s v="1-2 Miles"/>
    <s v="North America"/>
    <x v="17"/>
    <x v="1"/>
  </r>
  <r>
    <n v="15740"/>
    <s v="M"/>
    <s v="M"/>
    <n v="80000"/>
    <n v="5"/>
    <s v="Bachelors"/>
    <x v="4"/>
    <x v="0"/>
    <x v="2"/>
    <s v="1-2 Miles"/>
    <s v="North America"/>
    <x v="46"/>
    <x v="0"/>
  </r>
  <r>
    <n v="27638"/>
    <s v="S"/>
    <s v="M"/>
    <n v="100000"/>
    <n v="1"/>
    <s v="Partial College"/>
    <x v="2"/>
    <x v="1"/>
    <x v="4"/>
    <s v="1-2 Miles"/>
    <s v="North America"/>
    <x v="20"/>
    <x v="0"/>
  </r>
  <r>
    <n v="18976"/>
    <s v="S"/>
    <s v="M"/>
    <n v="40000"/>
    <n v="4"/>
    <s v="High School"/>
    <x v="2"/>
    <x v="0"/>
    <x v="2"/>
    <s v="10+ Miles"/>
    <s v="North America"/>
    <x v="24"/>
    <x v="1"/>
  </r>
  <r>
    <n v="19413"/>
    <s v="S"/>
    <s v="M"/>
    <n v="60000"/>
    <n v="3"/>
    <s v="Bachelors"/>
    <x v="2"/>
    <x v="1"/>
    <x v="1"/>
    <s v="0-1 Miles"/>
    <s v="North America"/>
    <x v="15"/>
    <x v="1"/>
  </r>
  <r>
    <n v="13283"/>
    <s v="M"/>
    <s v="M"/>
    <n v="80000"/>
    <n v="3"/>
    <s v="Partial College"/>
    <x v="2"/>
    <x v="1"/>
    <x v="2"/>
    <s v="0-1 Miles"/>
    <s v="North America"/>
    <x v="38"/>
    <x v="1"/>
  </r>
  <r>
    <n v="17471"/>
    <s v="S"/>
    <s v="F"/>
    <n v="80000"/>
    <n v="4"/>
    <s v="Graduate Degree"/>
    <x v="4"/>
    <x v="0"/>
    <x v="2"/>
    <s v="5-10 Miles"/>
    <s v="North America"/>
    <x v="41"/>
    <x v="0"/>
  </r>
  <r>
    <n v="16791"/>
    <s v="S"/>
    <s v="M"/>
    <n v="60000"/>
    <n v="5"/>
    <s v="Bachelors"/>
    <x v="4"/>
    <x v="0"/>
    <x v="4"/>
    <s v="10+ Miles"/>
    <s v="North America"/>
    <x v="14"/>
    <x v="1"/>
  </r>
  <r>
    <n v="15382"/>
    <s v="M"/>
    <s v="F"/>
    <n v="110000"/>
    <n v="1"/>
    <s v="Bachelors"/>
    <x v="4"/>
    <x v="0"/>
    <x v="2"/>
    <s v="1-2 Miles"/>
    <s v="North America"/>
    <x v="20"/>
    <x v="0"/>
  </r>
  <r>
    <n v="11641"/>
    <s v="M"/>
    <s v="M"/>
    <n v="50000"/>
    <n v="1"/>
    <s v="Bachelors"/>
    <x v="0"/>
    <x v="0"/>
    <x v="0"/>
    <s v="0-1 Miles"/>
    <s v="North America"/>
    <x v="4"/>
    <x v="0"/>
  </r>
  <r>
    <n v="11935"/>
    <s v="S"/>
    <s v="F"/>
    <n v="30000"/>
    <n v="0"/>
    <s v="Partial College"/>
    <x v="0"/>
    <x v="0"/>
    <x v="1"/>
    <s v="5-10 Miles"/>
    <s v="North America"/>
    <x v="26"/>
    <x v="0"/>
  </r>
  <r>
    <n v="13233"/>
    <s v="M"/>
    <s v="M"/>
    <n v="60000"/>
    <n v="2"/>
    <s v="Partial College"/>
    <x v="2"/>
    <x v="0"/>
    <x v="1"/>
    <s v="10+ Miles"/>
    <s v="North America"/>
    <x v="42"/>
    <x v="1"/>
  </r>
  <r>
    <n v="25909"/>
    <s v="M"/>
    <s v="M"/>
    <n v="60000"/>
    <n v="0"/>
    <s v="Partial College"/>
    <x v="0"/>
    <x v="0"/>
    <x v="1"/>
    <s v="5-10 Miles"/>
    <s v="North America"/>
    <x v="40"/>
    <x v="1"/>
  </r>
  <r>
    <n v="14092"/>
    <s v="S"/>
    <s v="M"/>
    <n v="30000"/>
    <n v="0"/>
    <s v="Partial High School"/>
    <x v="1"/>
    <x v="0"/>
    <x v="2"/>
    <s v="5-10 Miles"/>
    <s v="North America"/>
    <x v="26"/>
    <x v="0"/>
  </r>
  <r>
    <n v="29143"/>
    <s v="S"/>
    <s v="F"/>
    <n v="60000"/>
    <n v="1"/>
    <s v="Bachelors"/>
    <x v="2"/>
    <x v="1"/>
    <x v="1"/>
    <s v="0-1 Miles"/>
    <s v="North America"/>
    <x v="20"/>
    <x v="1"/>
  </r>
  <r>
    <n v="24941"/>
    <s v="M"/>
    <s v="M"/>
    <n v="60000"/>
    <n v="3"/>
    <s v="Bachelors"/>
    <x v="4"/>
    <x v="0"/>
    <x v="2"/>
    <s v="10+ Miles"/>
    <s v="North America"/>
    <x v="29"/>
    <x v="0"/>
  </r>
  <r>
    <n v="24637"/>
    <s v="M"/>
    <s v="M"/>
    <n v="40000"/>
    <n v="4"/>
    <s v="High School"/>
    <x v="2"/>
    <x v="0"/>
    <x v="2"/>
    <s v="10+ Miles"/>
    <s v="North America"/>
    <x v="46"/>
    <x v="0"/>
  </r>
  <r>
    <n v="23893"/>
    <s v="M"/>
    <s v="M"/>
    <n v="50000"/>
    <n v="3"/>
    <s v="Bachelors"/>
    <x v="0"/>
    <x v="0"/>
    <x v="4"/>
    <s v="10+ Miles"/>
    <s v="North America"/>
    <x v="3"/>
    <x v="0"/>
  </r>
  <r>
    <n v="13907"/>
    <s v="S"/>
    <s v="F"/>
    <n v="80000"/>
    <n v="3"/>
    <s v="Bachelors"/>
    <x v="0"/>
    <x v="0"/>
    <x v="1"/>
    <s v="0-1 Miles"/>
    <s v="North America"/>
    <x v="3"/>
    <x v="1"/>
  </r>
  <r>
    <n v="14900"/>
    <s v="M"/>
    <s v="F"/>
    <n v="40000"/>
    <n v="1"/>
    <s v="Partial College"/>
    <x v="1"/>
    <x v="0"/>
    <x v="1"/>
    <s v="1-2 Miles"/>
    <s v="North America"/>
    <x v="38"/>
    <x v="1"/>
  </r>
  <r>
    <n v="11262"/>
    <s v="M"/>
    <s v="F"/>
    <n v="80000"/>
    <n v="4"/>
    <s v="Bachelors"/>
    <x v="4"/>
    <x v="0"/>
    <x v="0"/>
    <s v="0-1 Miles"/>
    <s v="North America"/>
    <x v="0"/>
    <x v="0"/>
  </r>
  <r>
    <n v="22294"/>
    <s v="S"/>
    <s v="F"/>
    <n v="70000"/>
    <n v="0"/>
    <s v="Bachelors"/>
    <x v="2"/>
    <x v="1"/>
    <x v="1"/>
    <s v="2-5 Miles"/>
    <s v="North America"/>
    <x v="34"/>
    <x v="1"/>
  </r>
  <r>
    <n v="12195"/>
    <s v="S"/>
    <s v="F"/>
    <n v="70000"/>
    <n v="3"/>
    <s v="Graduate Degree"/>
    <x v="4"/>
    <x v="0"/>
    <x v="2"/>
    <s v="1-2 Miles"/>
    <s v="North America"/>
    <x v="31"/>
    <x v="0"/>
  </r>
  <r>
    <n v="25375"/>
    <s v="M"/>
    <s v="M"/>
    <n v="50000"/>
    <n v="1"/>
    <s v="Graduate Degree"/>
    <x v="0"/>
    <x v="0"/>
    <x v="0"/>
    <s v="1-2 Miles"/>
    <s v="North America"/>
    <x v="17"/>
    <x v="0"/>
  </r>
  <r>
    <n v="11143"/>
    <s v="M"/>
    <s v="M"/>
    <n v="40000"/>
    <n v="0"/>
    <s v="High School"/>
    <x v="0"/>
    <x v="0"/>
    <x v="2"/>
    <s v="5-10 Miles"/>
    <s v="North America"/>
    <x v="19"/>
    <x v="0"/>
  </r>
  <r>
    <n v="25898"/>
    <s v="M"/>
    <s v="F"/>
    <n v="70000"/>
    <n v="2"/>
    <s v="High School"/>
    <x v="2"/>
    <x v="0"/>
    <x v="2"/>
    <s v="2-5 Miles"/>
    <s v="North America"/>
    <x v="39"/>
    <x v="0"/>
  </r>
  <r>
    <n v="24397"/>
    <s v="S"/>
    <s v="M"/>
    <n v="120000"/>
    <n v="2"/>
    <s v="Bachelors"/>
    <x v="4"/>
    <x v="1"/>
    <x v="3"/>
    <s v="1-2 Miles"/>
    <s v="North America"/>
    <x v="8"/>
    <x v="0"/>
  </r>
  <r>
    <n v="19758"/>
    <s v="S"/>
    <s v="M"/>
    <n v="60000"/>
    <n v="0"/>
    <s v="Partial College"/>
    <x v="0"/>
    <x v="1"/>
    <x v="2"/>
    <s v="1-2 Miles"/>
    <s v="North America"/>
    <x v="19"/>
    <x v="0"/>
  </r>
  <r>
    <n v="15529"/>
    <s v="M"/>
    <s v="M"/>
    <n v="60000"/>
    <n v="4"/>
    <s v="Bachelors"/>
    <x v="2"/>
    <x v="0"/>
    <x v="2"/>
    <s v="2-5 Miles"/>
    <s v="North America"/>
    <x v="1"/>
    <x v="1"/>
  </r>
  <r>
    <n v="19884"/>
    <s v="M"/>
    <s v="M"/>
    <n v="60000"/>
    <n v="2"/>
    <s v="High School"/>
    <x v="2"/>
    <x v="0"/>
    <x v="2"/>
    <s v="2-5 Miles"/>
    <s v="North America"/>
    <x v="10"/>
    <x v="1"/>
  </r>
  <r>
    <n v="18674"/>
    <s v="S"/>
    <s v="F"/>
    <n v="80000"/>
    <n v="4"/>
    <s v="Graduate Degree"/>
    <x v="0"/>
    <x v="1"/>
    <x v="0"/>
    <s v="0-1 Miles"/>
    <s v="North America"/>
    <x v="28"/>
    <x v="0"/>
  </r>
  <r>
    <n v="13453"/>
    <s v="M"/>
    <s v="F"/>
    <n v="130000"/>
    <n v="3"/>
    <s v="Bachelors"/>
    <x v="4"/>
    <x v="0"/>
    <x v="4"/>
    <s v="0-1 Miles"/>
    <s v="North America"/>
    <x v="12"/>
    <x v="1"/>
  </r>
  <r>
    <n v="14063"/>
    <s v="S"/>
    <s v="F"/>
    <n v="70000"/>
    <n v="0"/>
    <s v="Bachelors"/>
    <x v="2"/>
    <x v="1"/>
    <x v="1"/>
    <s v="0-1 Miles"/>
    <s v="Pacific"/>
    <x v="0"/>
    <x v="1"/>
  </r>
  <r>
    <n v="27393"/>
    <s v="M"/>
    <s v="F"/>
    <n v="50000"/>
    <n v="4"/>
    <s v="Bachelors"/>
    <x v="4"/>
    <x v="0"/>
    <x v="2"/>
    <s v="10+ Miles"/>
    <s v="North America"/>
    <x v="18"/>
    <x v="0"/>
  </r>
  <r>
    <n v="14417"/>
    <s v="S"/>
    <s v="M"/>
    <n v="60000"/>
    <n v="3"/>
    <s v="High School"/>
    <x v="2"/>
    <x v="0"/>
    <x v="2"/>
    <s v="10+ Miles"/>
    <s v="North America"/>
    <x v="9"/>
    <x v="1"/>
  </r>
  <r>
    <n v="17533"/>
    <s v="M"/>
    <s v="M"/>
    <n v="40000"/>
    <n v="3"/>
    <s v="Partial College"/>
    <x v="2"/>
    <x v="1"/>
    <x v="2"/>
    <s v="5-10 Miles"/>
    <s v="North America"/>
    <x v="49"/>
    <x v="1"/>
  </r>
  <r>
    <n v="18580"/>
    <s v="M"/>
    <s v="F"/>
    <n v="60000"/>
    <n v="2"/>
    <s v="Graduate Degree"/>
    <x v="2"/>
    <x v="0"/>
    <x v="0"/>
    <s v="2-5 Miles"/>
    <s v="North America"/>
    <x v="8"/>
    <x v="1"/>
  </r>
  <r>
    <n v="17025"/>
    <s v="S"/>
    <s v="M"/>
    <n v="50000"/>
    <n v="0"/>
    <s v="Partial College"/>
    <x v="0"/>
    <x v="1"/>
    <x v="1"/>
    <s v="2-5 Miles"/>
    <s v="North America"/>
    <x v="32"/>
    <x v="1"/>
  </r>
  <r>
    <n v="25293"/>
    <s v="M"/>
    <s v="M"/>
    <n v="80000"/>
    <n v="4"/>
    <s v="Bachelors"/>
    <x v="4"/>
    <x v="0"/>
    <x v="0"/>
    <s v="1-2 Miles"/>
    <s v="North America"/>
    <x v="0"/>
    <x v="0"/>
  </r>
  <r>
    <n v="24725"/>
    <s v="M"/>
    <s v="F"/>
    <n v="40000"/>
    <n v="3"/>
    <s v="Partial College"/>
    <x v="1"/>
    <x v="0"/>
    <x v="0"/>
    <s v="1-2 Miles"/>
    <s v="North America"/>
    <x v="23"/>
    <x v="0"/>
  </r>
  <r>
    <n v="23200"/>
    <s v="M"/>
    <s v="F"/>
    <n v="50000"/>
    <n v="3"/>
    <s v="Bachelors"/>
    <x v="0"/>
    <x v="0"/>
    <x v="2"/>
    <s v="0-1 Miles"/>
    <s v="North America"/>
    <x v="3"/>
    <x v="0"/>
  </r>
  <r>
    <n v="15895"/>
    <s v="S"/>
    <s v="F"/>
    <n v="60000"/>
    <n v="2"/>
    <s v="Bachelors"/>
    <x v="4"/>
    <x v="0"/>
    <x v="0"/>
    <s v="10+ Miles"/>
    <s v="North America"/>
    <x v="7"/>
    <x v="0"/>
  </r>
  <r>
    <n v="18577"/>
    <s v="M"/>
    <s v="F"/>
    <n v="60000"/>
    <n v="0"/>
    <s v="Graduate Degree"/>
    <x v="2"/>
    <x v="0"/>
    <x v="0"/>
    <s v="0-1 Miles"/>
    <s v="North America"/>
    <x v="8"/>
    <x v="0"/>
  </r>
  <r>
    <n v="27218"/>
    <s v="M"/>
    <s v="F"/>
    <n v="20000"/>
    <n v="2"/>
    <s v="Partial High School"/>
    <x v="1"/>
    <x v="1"/>
    <x v="0"/>
    <s v="0-1 Miles"/>
    <s v="North America"/>
    <x v="28"/>
    <x v="0"/>
  </r>
  <r>
    <n v="18560"/>
    <s v="M"/>
    <s v="F"/>
    <n v="70000"/>
    <n v="2"/>
    <s v="Graduate Degree"/>
    <x v="2"/>
    <x v="0"/>
    <x v="0"/>
    <s v="2-5 Miles"/>
    <s v="North America"/>
    <x v="17"/>
    <x v="1"/>
  </r>
  <r>
    <n v="25006"/>
    <s v="S"/>
    <s v="F"/>
    <n v="30000"/>
    <n v="0"/>
    <s v="Partial College"/>
    <x v="0"/>
    <x v="0"/>
    <x v="1"/>
    <s v="5-10 Miles"/>
    <s v="North America"/>
    <x v="26"/>
    <x v="0"/>
  </r>
  <r>
    <n v="17369"/>
    <s v="S"/>
    <s v="M"/>
    <n v="30000"/>
    <n v="0"/>
    <s v="Partial College"/>
    <x v="0"/>
    <x v="0"/>
    <x v="1"/>
    <s v="5-10 Miles"/>
    <s v="North America"/>
    <x v="40"/>
    <x v="0"/>
  </r>
  <r>
    <n v="14495"/>
    <s v="M"/>
    <s v="M"/>
    <n v="40000"/>
    <n v="3"/>
    <s v="Partial College"/>
    <x v="2"/>
    <x v="1"/>
    <x v="2"/>
    <s v="5-10 Miles"/>
    <s v="North America"/>
    <x v="9"/>
    <x v="1"/>
  </r>
  <r>
    <n v="18847"/>
    <s v="M"/>
    <s v="F"/>
    <n v="60000"/>
    <n v="2"/>
    <s v="Graduate Degree"/>
    <x v="4"/>
    <x v="0"/>
    <x v="2"/>
    <s v="5-10 Miles"/>
    <s v="North America"/>
    <x v="43"/>
    <x v="0"/>
  </r>
  <r>
    <n v="14754"/>
    <s v="M"/>
    <s v="M"/>
    <n v="40000"/>
    <n v="1"/>
    <s v="Partial College"/>
    <x v="1"/>
    <x v="0"/>
    <x v="1"/>
    <s v="1-2 Miles"/>
    <s v="North America"/>
    <x v="28"/>
    <x v="1"/>
  </r>
  <r>
    <n v="23378"/>
    <s v="M"/>
    <s v="M"/>
    <n v="70000"/>
    <n v="1"/>
    <s v="Partial College"/>
    <x v="0"/>
    <x v="0"/>
    <x v="1"/>
    <s v="2-5 Miles"/>
    <s v="North America"/>
    <x v="20"/>
    <x v="1"/>
  </r>
  <r>
    <n v="26452"/>
    <s v="S"/>
    <s v="M"/>
    <n v="50000"/>
    <n v="3"/>
    <s v="Graduate Degree"/>
    <x v="4"/>
    <x v="0"/>
    <x v="2"/>
    <s v="10+ Miles"/>
    <s v="North America"/>
    <x v="45"/>
    <x v="0"/>
  </r>
  <r>
    <n v="20370"/>
    <s v="M"/>
    <s v="M"/>
    <n v="70000"/>
    <n v="3"/>
    <s v="Partial High School"/>
    <x v="0"/>
    <x v="0"/>
    <x v="2"/>
    <s v="5-10 Miles"/>
    <s v="North America"/>
    <x v="31"/>
    <x v="0"/>
  </r>
  <r>
    <n v="20528"/>
    <s v="M"/>
    <s v="M"/>
    <n v="40000"/>
    <n v="2"/>
    <s v="Partial High School"/>
    <x v="0"/>
    <x v="0"/>
    <x v="2"/>
    <s v="2-5 Miles"/>
    <s v="North America"/>
    <x v="10"/>
    <x v="0"/>
  </r>
  <r>
    <n v="23549"/>
    <s v="S"/>
    <s v="M"/>
    <n v="30000"/>
    <n v="0"/>
    <s v="High School"/>
    <x v="0"/>
    <x v="0"/>
    <x v="2"/>
    <s v="5-10 Miles"/>
    <s v="North America"/>
    <x v="25"/>
    <x v="0"/>
  </r>
  <r>
    <n v="21751"/>
    <s v="M"/>
    <s v="M"/>
    <n v="60000"/>
    <n v="3"/>
    <s v="Graduate Degree"/>
    <x v="4"/>
    <x v="0"/>
    <x v="2"/>
    <s v="1-2 Miles"/>
    <s v="North America"/>
    <x v="18"/>
    <x v="0"/>
  </r>
  <r>
    <n v="21266"/>
    <s v="S"/>
    <s v="F"/>
    <n v="80000"/>
    <n v="0"/>
    <s v="Bachelors"/>
    <x v="4"/>
    <x v="0"/>
    <x v="1"/>
    <s v="1-2 Miles"/>
    <s v="North America"/>
    <x v="17"/>
    <x v="1"/>
  </r>
  <r>
    <n v="13388"/>
    <s v="S"/>
    <s v="M"/>
    <n v="60000"/>
    <n v="2"/>
    <s v="Partial College"/>
    <x v="2"/>
    <x v="0"/>
    <x v="1"/>
    <s v="10+ Miles"/>
    <s v="North America"/>
    <x v="16"/>
    <x v="0"/>
  </r>
  <r>
    <n v="18752"/>
    <s v="S"/>
    <s v="F"/>
    <n v="40000"/>
    <n v="0"/>
    <s v="High School"/>
    <x v="0"/>
    <x v="0"/>
    <x v="1"/>
    <s v="5-10 Miles"/>
    <s v="North America"/>
    <x v="23"/>
    <x v="0"/>
  </r>
  <r>
    <n v="16917"/>
    <s v="M"/>
    <s v="M"/>
    <n v="120000"/>
    <n v="1"/>
    <s v="Bachelors"/>
    <x v="4"/>
    <x v="0"/>
    <x v="3"/>
    <s v="0-1 Miles"/>
    <s v="North America"/>
    <x v="13"/>
    <x v="0"/>
  </r>
  <r>
    <n v="15313"/>
    <s v="M"/>
    <s v="M"/>
    <n v="60000"/>
    <n v="4"/>
    <s v="Bachelors"/>
    <x v="4"/>
    <x v="0"/>
    <x v="2"/>
    <s v="2-5 Miles"/>
    <s v="North America"/>
    <x v="14"/>
    <x v="0"/>
  </r>
  <r>
    <n v="25329"/>
    <s v="S"/>
    <s v="F"/>
    <n v="40000"/>
    <n v="3"/>
    <s v="Partial College"/>
    <x v="1"/>
    <x v="1"/>
    <x v="2"/>
    <s v="0-1 Miles"/>
    <s v="North America"/>
    <x v="21"/>
    <x v="0"/>
  </r>
  <r>
    <n v="20380"/>
    <s v="M"/>
    <s v="F"/>
    <n v="60000"/>
    <n v="3"/>
    <s v="Graduate Degree"/>
    <x v="4"/>
    <x v="0"/>
    <x v="2"/>
    <s v="10+ Miles"/>
    <s v="North America"/>
    <x v="45"/>
    <x v="0"/>
  </r>
  <r>
    <n v="23089"/>
    <s v="M"/>
    <s v="M"/>
    <n v="40000"/>
    <n v="0"/>
    <s v="Partial College"/>
    <x v="0"/>
    <x v="0"/>
    <x v="1"/>
    <s v="5-10 Miles"/>
    <s v="North America"/>
    <x v="26"/>
    <x v="0"/>
  </r>
  <r>
    <n v="13749"/>
    <s v="M"/>
    <s v="M"/>
    <n v="80000"/>
    <n v="4"/>
    <s v="Graduate Degree"/>
    <x v="0"/>
    <x v="0"/>
    <x v="0"/>
    <s v="1-2 Miles"/>
    <s v="North America"/>
    <x v="15"/>
    <x v="0"/>
  </r>
  <r>
    <n v="24943"/>
    <s v="M"/>
    <s v="M"/>
    <n v="60000"/>
    <n v="3"/>
    <s v="Bachelors"/>
    <x v="4"/>
    <x v="0"/>
    <x v="2"/>
    <s v="10+ Miles"/>
    <s v="North America"/>
    <x v="29"/>
    <x v="0"/>
  </r>
  <r>
    <n v="28667"/>
    <s v="S"/>
    <s v="M"/>
    <n v="70000"/>
    <n v="2"/>
    <s v="Bachelors"/>
    <x v="0"/>
    <x v="1"/>
    <x v="1"/>
    <s v="0-1 Miles"/>
    <s v="North America"/>
    <x v="34"/>
    <x v="1"/>
  </r>
  <r>
    <n v="15194"/>
    <s v="S"/>
    <s v="M"/>
    <n v="120000"/>
    <n v="2"/>
    <s v="Bachelors"/>
    <x v="4"/>
    <x v="1"/>
    <x v="4"/>
    <s v="0-1 Miles"/>
    <s v="North America"/>
    <x v="32"/>
    <x v="1"/>
  </r>
  <r>
    <n v="17436"/>
    <s v="M"/>
    <s v="M"/>
    <n v="60000"/>
    <n v="2"/>
    <s v="High School"/>
    <x v="2"/>
    <x v="1"/>
    <x v="2"/>
    <s v="1-2 Miles"/>
    <s v="North America"/>
    <x v="36"/>
    <x v="0"/>
  </r>
  <r>
    <n v="18935"/>
    <s v="M"/>
    <s v="F"/>
    <n v="130000"/>
    <n v="0"/>
    <s v="Graduate Degree"/>
    <x v="4"/>
    <x v="0"/>
    <x v="4"/>
    <s v="1-2 Miles"/>
    <s v="North America"/>
    <x v="8"/>
    <x v="0"/>
  </r>
  <r>
    <n v="16871"/>
    <s v="M"/>
    <s v="F"/>
    <n v="90000"/>
    <n v="2"/>
    <s v="High School"/>
    <x v="2"/>
    <x v="0"/>
    <x v="1"/>
    <s v="10+ Miles"/>
    <s v="North America"/>
    <x v="36"/>
    <x v="1"/>
  </r>
  <r>
    <n v="12100"/>
    <s v="S"/>
    <s v="M"/>
    <n v="60000"/>
    <n v="2"/>
    <s v="Bachelors"/>
    <x v="4"/>
    <x v="0"/>
    <x v="0"/>
    <s v="10+ Miles"/>
    <s v="North America"/>
    <x v="42"/>
    <x v="0"/>
  </r>
  <r>
    <n v="23158"/>
    <s v="M"/>
    <s v="F"/>
    <n v="60000"/>
    <n v="1"/>
    <s v="Graduate Degree"/>
    <x v="2"/>
    <x v="1"/>
    <x v="0"/>
    <s v="0-1 Miles"/>
    <s v="North America"/>
    <x v="11"/>
    <x v="1"/>
  </r>
  <r>
    <n v="18545"/>
    <s v="M"/>
    <s v="M"/>
    <n v="40000"/>
    <n v="4"/>
    <s v="High School"/>
    <x v="2"/>
    <x v="1"/>
    <x v="2"/>
    <s v="10+ Miles"/>
    <s v="North America"/>
    <x v="33"/>
    <x v="1"/>
  </r>
  <r>
    <n v="18391"/>
    <s v="S"/>
    <s v="F"/>
    <n v="80000"/>
    <n v="5"/>
    <s v="Partial College"/>
    <x v="2"/>
    <x v="0"/>
    <x v="2"/>
    <s v="5-10 Miles"/>
    <s v="North America"/>
    <x v="20"/>
    <x v="0"/>
  </r>
  <r>
    <n v="19812"/>
    <s v="S"/>
    <s v="F"/>
    <n v="70000"/>
    <n v="2"/>
    <s v="Partial College"/>
    <x v="2"/>
    <x v="0"/>
    <x v="0"/>
    <s v="5-10 Miles"/>
    <s v="North America"/>
    <x v="38"/>
    <x v="1"/>
  </r>
  <r>
    <n v="27660"/>
    <s v="M"/>
    <s v="M"/>
    <n v="80000"/>
    <n v="4"/>
    <s v="Graduate Degree"/>
    <x v="4"/>
    <x v="0"/>
    <x v="2"/>
    <s v="5-10 Miles"/>
    <s v="North America"/>
    <x v="43"/>
    <x v="0"/>
  </r>
  <r>
    <n v="18058"/>
    <s v="S"/>
    <s v="F"/>
    <n v="20000"/>
    <n v="3"/>
    <s v="High School"/>
    <x v="0"/>
    <x v="0"/>
    <x v="2"/>
    <s v="2-5 Miles"/>
    <s v="North America"/>
    <x v="44"/>
    <x v="0"/>
  </r>
  <r>
    <n v="20343"/>
    <s v="M"/>
    <s v="F"/>
    <n v="90000"/>
    <n v="4"/>
    <s v="Partial College"/>
    <x v="2"/>
    <x v="0"/>
    <x v="1"/>
    <s v="1-2 Miles"/>
    <s v="North America"/>
    <x v="12"/>
    <x v="0"/>
  </r>
  <r>
    <n v="28997"/>
    <s v="S"/>
    <s v="M"/>
    <n v="40000"/>
    <n v="2"/>
    <s v="High School"/>
    <x v="2"/>
    <x v="1"/>
    <x v="1"/>
    <s v="2-5 Miles"/>
    <s v="North America"/>
    <x v="7"/>
    <x v="1"/>
  </r>
  <r>
    <n v="24398"/>
    <s v="M"/>
    <s v="M"/>
    <n v="130000"/>
    <n v="1"/>
    <s v="Graduate Degree"/>
    <x v="4"/>
    <x v="0"/>
    <x v="3"/>
    <s v="0-1 Miles"/>
    <s v="North America"/>
    <x v="3"/>
    <x v="0"/>
  </r>
  <r>
    <n v="19002"/>
    <s v="M"/>
    <s v="F"/>
    <n v="60000"/>
    <n v="2"/>
    <s v="Partial College"/>
    <x v="2"/>
    <x v="0"/>
    <x v="1"/>
    <s v="2-5 Miles"/>
    <s v="North America"/>
    <x v="42"/>
    <x v="1"/>
  </r>
  <r>
    <n v="28609"/>
    <s v="M"/>
    <s v="M"/>
    <n v="30000"/>
    <n v="2"/>
    <s v="High School"/>
    <x v="0"/>
    <x v="1"/>
    <x v="2"/>
    <s v="0-1 Miles"/>
    <s v="North America"/>
    <x v="38"/>
    <x v="0"/>
  </r>
  <r>
    <n v="29231"/>
    <s v="S"/>
    <s v="M"/>
    <n v="80000"/>
    <n v="4"/>
    <s v="Partial College"/>
    <x v="2"/>
    <x v="1"/>
    <x v="2"/>
    <s v="0-1 Miles"/>
    <s v="North America"/>
    <x v="1"/>
    <x v="0"/>
  </r>
  <r>
    <n v="18858"/>
    <s v="S"/>
    <s v="M"/>
    <n v="60000"/>
    <n v="2"/>
    <s v="Partial High School"/>
    <x v="0"/>
    <x v="0"/>
    <x v="2"/>
    <s v="5-10 Miles"/>
    <s v="North America"/>
    <x v="31"/>
    <x v="1"/>
  </r>
  <r>
    <n v="20000"/>
    <s v="M"/>
    <s v="M"/>
    <n v="60000"/>
    <n v="1"/>
    <s v="Graduate Degree"/>
    <x v="2"/>
    <x v="0"/>
    <x v="0"/>
    <s v="0-1 Miles"/>
    <s v="North America"/>
    <x v="11"/>
    <x v="1"/>
  </r>
  <r>
    <n v="25261"/>
    <s v="M"/>
    <s v="M"/>
    <n v="40000"/>
    <n v="0"/>
    <s v="High School"/>
    <x v="0"/>
    <x v="0"/>
    <x v="2"/>
    <s v="5-10 Miles"/>
    <s v="North America"/>
    <x v="40"/>
    <x v="0"/>
  </r>
  <r>
    <n v="17458"/>
    <s v="S"/>
    <s v="M"/>
    <n v="70000"/>
    <n v="3"/>
    <s v="High School"/>
    <x v="2"/>
    <x v="0"/>
    <x v="0"/>
    <s v="5-10 Miles"/>
    <s v="North America"/>
    <x v="31"/>
    <x v="1"/>
  </r>
  <r>
    <n v="11644"/>
    <s v="S"/>
    <s v="M"/>
    <n v="40000"/>
    <n v="2"/>
    <s v="Bachelors"/>
    <x v="0"/>
    <x v="0"/>
    <x v="0"/>
    <s v="2-5 Miles"/>
    <s v="North America"/>
    <x v="4"/>
    <x v="0"/>
  </r>
  <r>
    <n v="16145"/>
    <s v="S"/>
    <s v="F"/>
    <n v="70000"/>
    <n v="5"/>
    <s v="Graduate Degree"/>
    <x v="2"/>
    <x v="0"/>
    <x v="4"/>
    <s v="10+ Miles"/>
    <s v="North America"/>
    <x v="30"/>
    <x v="1"/>
  </r>
  <r>
    <n v="16890"/>
    <s v="M"/>
    <s v="M"/>
    <n v="60000"/>
    <n v="3"/>
    <s v="Partial High School"/>
    <x v="0"/>
    <x v="0"/>
    <x v="2"/>
    <s v="5-10 Miles"/>
    <s v="North America"/>
    <x v="31"/>
    <x v="1"/>
  </r>
  <r>
    <n v="25983"/>
    <s v="M"/>
    <s v="M"/>
    <n v="70000"/>
    <n v="0"/>
    <s v="Bachelors"/>
    <x v="2"/>
    <x v="1"/>
    <x v="1"/>
    <s v="0-1 Miles"/>
    <s v="North America"/>
    <x v="1"/>
    <x v="0"/>
  </r>
  <r>
    <n v="14633"/>
    <s v="M"/>
    <s v="M"/>
    <n v="60000"/>
    <n v="1"/>
    <s v="Partial College"/>
    <x v="0"/>
    <x v="0"/>
    <x v="1"/>
    <s v="2-5 Miles"/>
    <s v="North America"/>
    <x v="20"/>
    <x v="0"/>
  </r>
  <r>
    <n v="22994"/>
    <s v="M"/>
    <s v="F"/>
    <n v="80000"/>
    <n v="0"/>
    <s v="Bachelors"/>
    <x v="4"/>
    <x v="0"/>
    <x v="1"/>
    <s v="1-2 Miles"/>
    <s v="North America"/>
    <x v="17"/>
    <x v="1"/>
  </r>
  <r>
    <n v="22983"/>
    <s v="S"/>
    <s v="F"/>
    <n v="30000"/>
    <n v="0"/>
    <s v="Partial High School"/>
    <x v="1"/>
    <x v="0"/>
    <x v="2"/>
    <s v="5-10 Miles"/>
    <s v="North America"/>
    <x v="40"/>
    <x v="0"/>
  </r>
  <r>
    <n v="25184"/>
    <s v="S"/>
    <s v="M"/>
    <n v="110000"/>
    <n v="1"/>
    <s v="Partial College"/>
    <x v="2"/>
    <x v="0"/>
    <x v="3"/>
    <s v="5-10 Miles"/>
    <s v="North America"/>
    <x v="12"/>
    <x v="1"/>
  </r>
  <r>
    <n v="14469"/>
    <s v="M"/>
    <s v="F"/>
    <n v="100000"/>
    <n v="3"/>
    <s v="Partial College"/>
    <x v="2"/>
    <x v="0"/>
    <x v="3"/>
    <s v="1-2 Miles"/>
    <s v="North America"/>
    <x v="12"/>
    <x v="0"/>
  </r>
  <r>
    <n v="11538"/>
    <s v="S"/>
    <s v="F"/>
    <n v="60000"/>
    <n v="4"/>
    <s v="Graduate Degree"/>
    <x v="0"/>
    <x v="1"/>
    <x v="0"/>
    <s v="0-1 Miles"/>
    <s v="North America"/>
    <x v="15"/>
    <x v="1"/>
  </r>
  <r>
    <n v="16245"/>
    <s v="S"/>
    <s v="F"/>
    <n v="80000"/>
    <n v="4"/>
    <s v="Graduate Degree"/>
    <x v="0"/>
    <x v="0"/>
    <x v="0"/>
    <s v="1-2 Miles"/>
    <s v="North America"/>
    <x v="15"/>
    <x v="0"/>
  </r>
  <r>
    <n v="17858"/>
    <s v="M"/>
    <s v="M"/>
    <n v="40000"/>
    <n v="4"/>
    <s v="High School"/>
    <x v="0"/>
    <x v="0"/>
    <x v="2"/>
    <s v="2-5 Miles"/>
    <s v="North America"/>
    <x v="20"/>
    <x v="1"/>
  </r>
  <r>
    <n v="25347"/>
    <s v="S"/>
    <s v="F"/>
    <n v="20000"/>
    <n v="3"/>
    <s v="Partial High School"/>
    <x v="1"/>
    <x v="1"/>
    <x v="2"/>
    <s v="0-1 Miles"/>
    <s v="North America"/>
    <x v="38"/>
    <x v="0"/>
  </r>
  <r>
    <n v="15814"/>
    <s v="S"/>
    <s v="F"/>
    <n v="40000"/>
    <n v="0"/>
    <s v="High School"/>
    <x v="0"/>
    <x v="0"/>
    <x v="1"/>
    <s v="5-10 Miles"/>
    <s v="North America"/>
    <x v="25"/>
    <x v="0"/>
  </r>
  <r>
    <n v="11259"/>
    <s v="M"/>
    <s v="F"/>
    <n v="100000"/>
    <n v="4"/>
    <s v="Partial College"/>
    <x v="2"/>
    <x v="0"/>
    <x v="3"/>
    <s v="2-5 Miles"/>
    <s v="North America"/>
    <x v="3"/>
    <x v="1"/>
  </r>
  <r>
    <n v="11200"/>
    <s v="M"/>
    <s v="M"/>
    <n v="70000"/>
    <n v="4"/>
    <s v="Bachelors"/>
    <x v="4"/>
    <x v="0"/>
    <x v="1"/>
    <s v="1-2 Miles"/>
    <s v="North America"/>
    <x v="7"/>
    <x v="0"/>
  </r>
  <r>
    <n v="25101"/>
    <s v="M"/>
    <s v="M"/>
    <n v="60000"/>
    <n v="5"/>
    <s v="Bachelors"/>
    <x v="2"/>
    <x v="0"/>
    <x v="1"/>
    <s v="2-5 Miles"/>
    <s v="North America"/>
    <x v="15"/>
    <x v="0"/>
  </r>
  <r>
    <n v="21801"/>
    <s v="M"/>
    <s v="F"/>
    <n v="70000"/>
    <n v="4"/>
    <s v="Partial College"/>
    <x v="2"/>
    <x v="0"/>
    <x v="1"/>
    <s v="1-2 Miles"/>
    <s v="North America"/>
    <x v="10"/>
    <x v="0"/>
  </r>
  <r>
    <n v="25943"/>
    <s v="S"/>
    <s v="F"/>
    <n v="70000"/>
    <n v="0"/>
    <s v="Partial College"/>
    <x v="0"/>
    <x v="1"/>
    <x v="2"/>
    <s v="0-1 Miles"/>
    <s v="North America"/>
    <x v="40"/>
    <x v="1"/>
  </r>
  <r>
    <n v="22127"/>
    <s v="M"/>
    <s v="M"/>
    <n v="60000"/>
    <n v="3"/>
    <s v="Graduate Degree"/>
    <x v="4"/>
    <x v="0"/>
    <x v="2"/>
    <s v="1-2 Miles"/>
    <s v="North America"/>
    <x v="41"/>
    <x v="0"/>
  </r>
  <r>
    <n v="20414"/>
    <s v="M"/>
    <s v="F"/>
    <n v="60000"/>
    <n v="0"/>
    <s v="Partial College"/>
    <x v="0"/>
    <x v="0"/>
    <x v="2"/>
    <s v="5-10 Miles"/>
    <s v="North America"/>
    <x v="19"/>
    <x v="0"/>
  </r>
  <r>
    <n v="23672"/>
    <s v="M"/>
    <s v="F"/>
    <n v="60000"/>
    <n v="3"/>
    <s v="Graduate Degree"/>
    <x v="4"/>
    <x v="0"/>
    <x v="2"/>
    <s v="1-2 Miles"/>
    <s v="North America"/>
    <x v="41"/>
    <x v="0"/>
  </r>
  <r>
    <n v="29255"/>
    <s v="S"/>
    <s v="M"/>
    <n v="80000"/>
    <n v="3"/>
    <s v="Partial College"/>
    <x v="2"/>
    <x v="1"/>
    <x v="1"/>
    <s v="1-2 Miles"/>
    <s v="North America"/>
    <x v="36"/>
    <x v="1"/>
  </r>
  <r>
    <n v="28815"/>
    <s v="M"/>
    <s v="F"/>
    <n v="50000"/>
    <n v="1"/>
    <s v="Graduate Degree"/>
    <x v="0"/>
    <x v="0"/>
    <x v="0"/>
    <s v="0-1 Miles"/>
    <s v="North America"/>
    <x v="11"/>
    <x v="0"/>
  </r>
  <r>
    <n v="27753"/>
    <s v="M"/>
    <s v="M"/>
    <n v="40000"/>
    <n v="0"/>
    <s v="High School"/>
    <x v="0"/>
    <x v="1"/>
    <x v="2"/>
    <s v="1-2 Miles"/>
    <s v="North America"/>
    <x v="25"/>
    <x v="0"/>
  </r>
  <r>
    <n v="27643"/>
    <s v="S"/>
    <s v="M"/>
    <n v="70000"/>
    <n v="5"/>
    <s v="Partial College"/>
    <x v="2"/>
    <x v="0"/>
    <x v="4"/>
    <s v="2-5 Miles"/>
    <s v="North America"/>
    <x v="20"/>
    <x v="0"/>
  </r>
  <r>
    <n v="13754"/>
    <s v="S"/>
    <s v="F"/>
    <n v="80000"/>
    <n v="4"/>
    <s v="Graduate Degree"/>
    <x v="0"/>
    <x v="0"/>
    <x v="0"/>
    <s v="1-2 Miles"/>
    <s v="North America"/>
    <x v="28"/>
    <x v="0"/>
  </r>
  <r>
    <n v="22088"/>
    <s v="M"/>
    <s v="F"/>
    <n v="130000"/>
    <n v="1"/>
    <s v="Bachelors"/>
    <x v="4"/>
    <x v="0"/>
    <x v="2"/>
    <s v="0-1 Miles"/>
    <s v="North America"/>
    <x v="12"/>
    <x v="1"/>
  </r>
  <r>
    <n v="27388"/>
    <s v="M"/>
    <s v="M"/>
    <n v="60000"/>
    <n v="3"/>
    <s v="Bachelors"/>
    <x v="4"/>
    <x v="1"/>
    <x v="2"/>
    <s v="1-2 Miles"/>
    <s v="North America"/>
    <x v="29"/>
    <x v="0"/>
  </r>
  <r>
    <n v="24745"/>
    <s v="S"/>
    <s v="F"/>
    <n v="30000"/>
    <n v="2"/>
    <s v="High School"/>
    <x v="0"/>
    <x v="1"/>
    <x v="2"/>
    <s v="0-1 Miles"/>
    <s v="North America"/>
    <x v="38"/>
    <x v="0"/>
  </r>
  <r>
    <n v="29237"/>
    <s v="S"/>
    <s v="F"/>
    <n v="120000"/>
    <n v="4"/>
    <s v="Partial College"/>
    <x v="2"/>
    <x v="0"/>
    <x v="4"/>
    <s v="5-10 Miles"/>
    <s v="North America"/>
    <x v="1"/>
    <x v="1"/>
  </r>
  <r>
    <n v="15272"/>
    <s v="S"/>
    <s v="M"/>
    <n v="40000"/>
    <n v="0"/>
    <s v="High School"/>
    <x v="0"/>
    <x v="1"/>
    <x v="2"/>
    <s v="1-2 Miles"/>
    <s v="North America"/>
    <x v="25"/>
    <x v="0"/>
  </r>
  <r>
    <n v="18949"/>
    <s v="S"/>
    <s v="M"/>
    <n v="70000"/>
    <n v="0"/>
    <s v="Graduate Degree"/>
    <x v="4"/>
    <x v="0"/>
    <x v="2"/>
    <s v="5-10 Miles"/>
    <s v="North America"/>
    <x v="50"/>
    <x v="1"/>
  </r>
  <r>
    <n v="14507"/>
    <s v="M"/>
    <s v="M"/>
    <n v="100000"/>
    <n v="2"/>
    <s v="Graduate Degree"/>
    <x v="4"/>
    <x v="0"/>
    <x v="4"/>
    <s v="1-2 Miles"/>
    <s v="North America"/>
    <x v="27"/>
    <x v="0"/>
  </r>
  <r>
    <n v="25886"/>
    <s v="M"/>
    <s v="F"/>
    <n v="60000"/>
    <n v="2"/>
    <s v="Partial College"/>
    <x v="2"/>
    <x v="0"/>
    <x v="2"/>
    <s v="2-5 Miles"/>
    <s v="North America"/>
    <x v="16"/>
    <x v="1"/>
  </r>
  <r>
    <n v="21441"/>
    <s v="M"/>
    <s v="M"/>
    <n v="50000"/>
    <n v="4"/>
    <s v="Bachelors"/>
    <x v="4"/>
    <x v="0"/>
    <x v="2"/>
    <s v="10+ Miles"/>
    <s v="North America"/>
    <x v="46"/>
    <x v="0"/>
  </r>
  <r>
    <n v="21741"/>
    <s v="M"/>
    <s v="F"/>
    <n v="70000"/>
    <n v="3"/>
    <s v="Partial College"/>
    <x v="2"/>
    <x v="0"/>
    <x v="2"/>
    <s v="5-10 Miles"/>
    <s v="North America"/>
    <x v="5"/>
    <x v="1"/>
  </r>
  <r>
    <n v="14572"/>
    <s v="M"/>
    <s v="F"/>
    <n v="70000"/>
    <n v="3"/>
    <s v="Graduate Degree"/>
    <x v="2"/>
    <x v="0"/>
    <x v="0"/>
    <s v="2-5 Miles"/>
    <s v="North America"/>
    <x v="11"/>
    <x v="1"/>
  </r>
  <r>
    <n v="23368"/>
    <s v="M"/>
    <s v="F"/>
    <n v="60000"/>
    <n v="5"/>
    <s v="Bachelors"/>
    <x v="0"/>
    <x v="0"/>
    <x v="4"/>
    <s v="10+ Miles"/>
    <s v="North America"/>
    <x v="3"/>
    <x v="0"/>
  </r>
  <r>
    <n v="16217"/>
    <s v="S"/>
    <s v="F"/>
    <n v="60000"/>
    <n v="0"/>
    <s v="Graduate Degree"/>
    <x v="0"/>
    <x v="0"/>
    <x v="0"/>
    <s v="0-1 Miles"/>
    <s v="North America"/>
    <x v="32"/>
    <x v="0"/>
  </r>
  <r>
    <n v="16247"/>
    <s v="S"/>
    <s v="F"/>
    <n v="60000"/>
    <n v="4"/>
    <s v="Graduate Degree"/>
    <x v="0"/>
    <x v="1"/>
    <x v="0"/>
    <s v="1-2 Miles"/>
    <s v="North America"/>
    <x v="15"/>
    <x v="0"/>
  </r>
  <r>
    <n v="22010"/>
    <s v="S"/>
    <s v="M"/>
    <n v="40000"/>
    <n v="0"/>
    <s v="High School"/>
    <x v="0"/>
    <x v="0"/>
    <x v="2"/>
    <s v="5-10 Miles"/>
    <s v="North America"/>
    <x v="23"/>
    <x v="0"/>
  </r>
  <r>
    <n v="25872"/>
    <s v="S"/>
    <s v="F"/>
    <n v="70000"/>
    <n v="2"/>
    <s v="Bachelors"/>
    <x v="4"/>
    <x v="1"/>
    <x v="1"/>
    <s v="2-5 Miles"/>
    <s v="North America"/>
    <x v="7"/>
    <x v="1"/>
  </r>
  <r>
    <n v="19164"/>
    <s v="S"/>
    <s v="F"/>
    <n v="70000"/>
    <n v="0"/>
    <s v="Bachelors"/>
    <x v="2"/>
    <x v="1"/>
    <x v="1"/>
    <s v="2-5 Miles"/>
    <s v="North America"/>
    <x v="13"/>
    <x v="1"/>
  </r>
  <r>
    <n v="18435"/>
    <s v="S"/>
    <s v="F"/>
    <n v="70000"/>
    <n v="5"/>
    <s v="Graduate Degree"/>
    <x v="4"/>
    <x v="0"/>
    <x v="2"/>
    <s v="10+ Miles"/>
    <s v="North America"/>
    <x v="41"/>
    <x v="1"/>
  </r>
  <r>
    <n v="14284"/>
    <s v="S"/>
    <s v="M"/>
    <n v="60000"/>
    <n v="0"/>
    <s v="Partial College"/>
    <x v="2"/>
    <x v="1"/>
    <x v="2"/>
    <s v="1-2 Miles"/>
    <s v="North America"/>
    <x v="21"/>
    <x v="1"/>
  </r>
  <r>
    <n v="11287"/>
    <s v="M"/>
    <s v="M"/>
    <n v="70000"/>
    <n v="5"/>
    <s v="Partial College"/>
    <x v="2"/>
    <x v="1"/>
    <x v="4"/>
    <s v="5-10 Miles"/>
    <s v="North America"/>
    <x v="12"/>
    <x v="0"/>
  </r>
  <r>
    <n v="13066"/>
    <s v="S"/>
    <s v="M"/>
    <n v="30000"/>
    <n v="0"/>
    <s v="High School"/>
    <x v="0"/>
    <x v="1"/>
    <x v="2"/>
    <s v="1-2 Miles"/>
    <s v="North America"/>
    <x v="23"/>
    <x v="1"/>
  </r>
  <r>
    <n v="29106"/>
    <s v="S"/>
    <s v="M"/>
    <n v="40000"/>
    <n v="0"/>
    <s v="High School"/>
    <x v="0"/>
    <x v="1"/>
    <x v="2"/>
    <s v="1-2 Miles"/>
    <s v="North America"/>
    <x v="23"/>
    <x v="1"/>
  </r>
  <r>
    <n v="26236"/>
    <s v="M"/>
    <s v="F"/>
    <n v="40000"/>
    <n v="3"/>
    <s v="Partial College"/>
    <x v="1"/>
    <x v="0"/>
    <x v="1"/>
    <s v="0-1 Miles"/>
    <s v="North America"/>
    <x v="23"/>
    <x v="0"/>
  </r>
  <r>
    <n v="17531"/>
    <s v="M"/>
    <s v="M"/>
    <n v="60000"/>
    <n v="2"/>
    <s v="High School"/>
    <x v="2"/>
    <x v="1"/>
    <x v="2"/>
    <s v="5-10 Miles"/>
    <s v="North America"/>
    <x v="5"/>
    <x v="0"/>
  </r>
  <r>
    <n v="12964"/>
    <s v="M"/>
    <s v="M"/>
    <n v="70000"/>
    <n v="1"/>
    <s v="Partial College"/>
    <x v="0"/>
    <x v="0"/>
    <x v="1"/>
    <s v="0-1 Miles"/>
    <s v="North America"/>
    <x v="20"/>
    <x v="0"/>
  </r>
  <r>
    <n v="19133"/>
    <s v="S"/>
    <s v="M"/>
    <n v="50000"/>
    <n v="2"/>
    <s v="Bachelors"/>
    <x v="0"/>
    <x v="0"/>
    <x v="1"/>
    <s v="2-5 Miles"/>
    <s v="North America"/>
    <x v="13"/>
    <x v="1"/>
  </r>
  <r>
    <n v="24643"/>
    <s v="S"/>
    <s v="F"/>
    <n v="60000"/>
    <n v="4"/>
    <s v="Bachelors"/>
    <x v="4"/>
    <x v="0"/>
    <x v="2"/>
    <s v="10+ Miles"/>
    <s v="North America"/>
    <x v="18"/>
    <x v="0"/>
  </r>
  <r>
    <n v="21599"/>
    <s v="M"/>
    <s v="F"/>
    <n v="60000"/>
    <n v="1"/>
    <s v="Graduate Degree"/>
    <x v="2"/>
    <x v="0"/>
    <x v="0"/>
    <s v="2-5 Miles"/>
    <s v="North America"/>
    <x v="4"/>
    <x v="1"/>
  </r>
  <r>
    <n v="22976"/>
    <s v="S"/>
    <s v="M"/>
    <n v="40000"/>
    <n v="0"/>
    <s v="High School"/>
    <x v="0"/>
    <x v="1"/>
    <x v="2"/>
    <s v="0-1 Miles"/>
    <s v="North America"/>
    <x v="26"/>
    <x v="1"/>
  </r>
  <r>
    <n v="27637"/>
    <s v="S"/>
    <s v="F"/>
    <n v="100000"/>
    <n v="1"/>
    <s v="Partial College"/>
    <x v="2"/>
    <x v="1"/>
    <x v="4"/>
    <s v="1-2 Miles"/>
    <s v="North America"/>
    <x v="20"/>
    <x v="0"/>
  </r>
  <r>
    <n v="11890"/>
    <s v="M"/>
    <s v="F"/>
    <n v="70000"/>
    <n v="5"/>
    <s v="Graduate Degree"/>
    <x v="2"/>
    <x v="0"/>
    <x v="1"/>
    <s v="0-1 Miles"/>
    <s v="North America"/>
    <x v="15"/>
    <x v="0"/>
  </r>
  <r>
    <n v="28580"/>
    <s v="M"/>
    <s v="F"/>
    <n v="80000"/>
    <n v="0"/>
    <s v="Graduate Degree"/>
    <x v="0"/>
    <x v="0"/>
    <x v="0"/>
    <s v="1-2 Miles"/>
    <s v="North America"/>
    <x v="8"/>
    <x v="1"/>
  </r>
  <r>
    <n v="14443"/>
    <s v="M"/>
    <s v="M"/>
    <n v="130000"/>
    <n v="1"/>
    <s v="Graduate Degree"/>
    <x v="4"/>
    <x v="0"/>
    <x v="3"/>
    <s v="0-1 Miles"/>
    <s v="North America"/>
    <x v="8"/>
    <x v="0"/>
  </r>
  <r>
    <n v="17864"/>
    <s v="M"/>
    <s v="F"/>
    <n v="60000"/>
    <n v="1"/>
    <s v="Partial College"/>
    <x v="0"/>
    <x v="0"/>
    <x v="1"/>
    <s v="2-5 Miles"/>
    <s v="North America"/>
    <x v="30"/>
    <x v="1"/>
  </r>
  <r>
    <n v="20505"/>
    <s v="M"/>
    <s v="F"/>
    <n v="40000"/>
    <n v="5"/>
    <s v="High School"/>
    <x v="2"/>
    <x v="1"/>
    <x v="2"/>
    <s v="10+ Miles"/>
    <s v="North America"/>
    <x v="33"/>
    <x v="0"/>
  </r>
  <r>
    <n v="14592"/>
    <s v="M"/>
    <s v="F"/>
    <n v="60000"/>
    <n v="0"/>
    <s v="Graduate Degree"/>
    <x v="2"/>
    <x v="0"/>
    <x v="0"/>
    <s v="0-1 Miles"/>
    <s v="North America"/>
    <x v="8"/>
    <x v="0"/>
  </r>
  <r>
    <n v="22227"/>
    <s v="M"/>
    <s v="F"/>
    <n v="60000"/>
    <n v="2"/>
    <s v="High School"/>
    <x v="2"/>
    <x v="0"/>
    <x v="2"/>
    <s v="5-10 Miles"/>
    <s v="North America"/>
    <x v="5"/>
    <x v="0"/>
  </r>
  <r>
    <n v="21471"/>
    <s v="M"/>
    <s v="M"/>
    <n v="70000"/>
    <n v="2"/>
    <s v="Partial College"/>
    <x v="2"/>
    <x v="0"/>
    <x v="1"/>
    <s v="10+ Miles"/>
    <s v="North America"/>
    <x v="14"/>
    <x v="0"/>
  </r>
  <r>
    <n v="22252"/>
    <s v="S"/>
    <s v="F"/>
    <n v="60000"/>
    <n v="1"/>
    <s v="Graduate Degree"/>
    <x v="2"/>
    <x v="0"/>
    <x v="0"/>
    <s v="2-5 Miles"/>
    <s v="North America"/>
    <x v="4"/>
    <x v="1"/>
  </r>
  <r>
    <n v="21260"/>
    <s v="S"/>
    <s v="F"/>
    <n v="40000"/>
    <n v="0"/>
    <s v="High School"/>
    <x v="0"/>
    <x v="0"/>
    <x v="2"/>
    <s v="5-10 Miles"/>
    <s v="North America"/>
    <x v="25"/>
    <x v="0"/>
  </r>
  <r>
    <n v="11817"/>
    <s v="S"/>
    <s v="F"/>
    <n v="70000"/>
    <n v="4"/>
    <s v="Graduate Degree"/>
    <x v="2"/>
    <x v="0"/>
    <x v="0"/>
    <s v="2-5 Miles"/>
    <s v="North America"/>
    <x v="11"/>
    <x v="1"/>
  </r>
  <r>
    <n v="19223"/>
    <s v="M"/>
    <s v="F"/>
    <n v="30000"/>
    <n v="2"/>
    <s v="High School"/>
    <x v="0"/>
    <x v="0"/>
    <x v="2"/>
    <s v="1-2 Miles"/>
    <s v="North America"/>
    <x v="28"/>
    <x v="0"/>
  </r>
  <r>
    <n v="18517"/>
    <s v="M"/>
    <s v="M"/>
    <n v="100000"/>
    <n v="3"/>
    <s v="Bachelors"/>
    <x v="4"/>
    <x v="0"/>
    <x v="3"/>
    <s v="0-1 Miles"/>
    <s v="North America"/>
    <x v="3"/>
    <x v="0"/>
  </r>
  <r>
    <n v="21717"/>
    <s v="M"/>
    <s v="M"/>
    <n v="40000"/>
    <n v="2"/>
    <s v="Partial College"/>
    <x v="1"/>
    <x v="0"/>
    <x v="1"/>
    <s v="0-1 Miles"/>
    <s v="North America"/>
    <x v="15"/>
    <x v="0"/>
  </r>
  <r>
    <n v="13760"/>
    <s v="M"/>
    <s v="M"/>
    <n v="60000"/>
    <n v="4"/>
    <s v="Graduate Degree"/>
    <x v="0"/>
    <x v="1"/>
    <x v="0"/>
    <s v="0-1 Miles"/>
    <s v="North America"/>
    <x v="15"/>
    <x v="0"/>
  </r>
  <r>
    <n v="18145"/>
    <s v="M"/>
    <s v="M"/>
    <n v="80000"/>
    <n v="5"/>
    <s v="Bachelors"/>
    <x v="4"/>
    <x v="1"/>
    <x v="2"/>
    <s v="2-5 Miles"/>
    <s v="Europe"/>
    <x v="24"/>
    <x v="0"/>
  </r>
  <r>
    <n v="21770"/>
    <s v="M"/>
    <s v="M"/>
    <n v="60000"/>
    <n v="4"/>
    <s v="Bachelors"/>
    <x v="4"/>
    <x v="0"/>
    <x v="2"/>
    <s v="10+ Miles"/>
    <s v="North America"/>
    <x v="2"/>
    <x v="0"/>
  </r>
  <r>
    <n v="11165"/>
    <s v="M"/>
    <s v="F"/>
    <n v="60000"/>
    <n v="0"/>
    <s v="Partial College"/>
    <x v="0"/>
    <x v="1"/>
    <x v="1"/>
    <s v="1-2 Miles"/>
    <s v="North America"/>
    <x v="6"/>
    <x v="0"/>
  </r>
  <r>
    <n v="16377"/>
    <s v="S"/>
    <s v="F"/>
    <n v="80000"/>
    <n v="4"/>
    <s v="Graduate Degree"/>
    <x v="0"/>
    <x v="1"/>
    <x v="0"/>
    <s v="0-1 Miles"/>
    <s v="North America"/>
    <x v="15"/>
    <x v="0"/>
  </r>
  <r>
    <n v="26248"/>
    <s v="M"/>
    <s v="M"/>
    <n v="20000"/>
    <n v="3"/>
    <s v="Partial High School"/>
    <x v="1"/>
    <x v="1"/>
    <x v="2"/>
    <s v="0-1 Miles"/>
    <s v="North America"/>
    <x v="31"/>
    <x v="0"/>
  </r>
  <r>
    <n v="23461"/>
    <s v="M"/>
    <s v="F"/>
    <n v="90000"/>
    <n v="5"/>
    <s v="Partial College"/>
    <x v="2"/>
    <x v="0"/>
    <x v="4"/>
    <s v="2-5 Miles"/>
    <s v="North America"/>
    <x v="8"/>
    <x v="0"/>
  </r>
  <r>
    <n v="29133"/>
    <s v="S"/>
    <s v="F"/>
    <n v="60000"/>
    <n v="4"/>
    <s v="Bachelors"/>
    <x v="0"/>
    <x v="1"/>
    <x v="2"/>
    <s v="0-1 Miles"/>
    <s v="North America"/>
    <x v="0"/>
    <x v="0"/>
  </r>
  <r>
    <n v="27673"/>
    <s v="S"/>
    <s v="F"/>
    <n v="60000"/>
    <n v="3"/>
    <s v="Graduate Degree"/>
    <x v="4"/>
    <x v="0"/>
    <x v="2"/>
    <s v="5-10 Miles"/>
    <s v="North America"/>
    <x v="39"/>
    <x v="1"/>
  </r>
  <r>
    <n v="12774"/>
    <s v="M"/>
    <s v="F"/>
    <n v="40000"/>
    <n v="1"/>
    <s v="Partial College"/>
    <x v="1"/>
    <x v="0"/>
    <x v="1"/>
    <s v="1-2 Miles"/>
    <s v="North America"/>
    <x v="36"/>
    <x v="1"/>
  </r>
  <r>
    <n v="18910"/>
    <s v="S"/>
    <s v="M"/>
    <n v="30000"/>
    <n v="0"/>
    <s v="Partial College"/>
    <x v="0"/>
    <x v="0"/>
    <x v="2"/>
    <s v="5-10 Miles"/>
    <s v="North America"/>
    <x v="25"/>
    <x v="0"/>
  </r>
  <r>
    <n v="11699"/>
    <s v="S"/>
    <s v="M"/>
    <n v="60000"/>
    <n v="0"/>
    <s v="Bachelors"/>
    <x v="0"/>
    <x v="1"/>
    <x v="2"/>
    <s v="0-1 Miles"/>
    <s v="North America"/>
    <x v="25"/>
    <x v="0"/>
  </r>
  <r>
    <n v="16725"/>
    <s v="M"/>
    <s v="M"/>
    <n v="30000"/>
    <n v="0"/>
    <s v="High School"/>
    <x v="0"/>
    <x v="0"/>
    <x v="2"/>
    <s v="5-10 Miles"/>
    <s v="North America"/>
    <x v="22"/>
    <x v="0"/>
  </r>
  <r>
    <n v="28269"/>
    <s v="S"/>
    <s v="F"/>
    <n v="130000"/>
    <n v="1"/>
    <s v="Bachelors"/>
    <x v="4"/>
    <x v="1"/>
    <x v="1"/>
    <s v="2-5 Miles"/>
    <s v="North America"/>
    <x v="12"/>
    <x v="0"/>
  </r>
  <r>
    <n v="23144"/>
    <s v="M"/>
    <s v="M"/>
    <n v="50000"/>
    <n v="1"/>
    <s v="Bachelors"/>
    <x v="0"/>
    <x v="0"/>
    <x v="0"/>
    <s v="0-1 Miles"/>
    <s v="North America"/>
    <x v="17"/>
    <x v="1"/>
  </r>
  <r>
    <n v="23376"/>
    <s v="M"/>
    <s v="M"/>
    <n v="70000"/>
    <n v="1"/>
    <s v="Bachelors"/>
    <x v="2"/>
    <x v="0"/>
    <x v="1"/>
    <s v="2-5 Miles"/>
    <s v="North America"/>
    <x v="20"/>
    <x v="1"/>
  </r>
  <r>
    <n v="25970"/>
    <s v="S"/>
    <s v="F"/>
    <n v="60000"/>
    <n v="4"/>
    <s v="Bachelors"/>
    <x v="0"/>
    <x v="1"/>
    <x v="2"/>
    <s v="0-1 Miles"/>
    <s v="North America"/>
    <x v="3"/>
    <x v="1"/>
  </r>
  <r>
    <n v="28068"/>
    <s v="S"/>
    <s v="F"/>
    <n v="80000"/>
    <n v="3"/>
    <s v="Graduate Degree"/>
    <x v="2"/>
    <x v="1"/>
    <x v="0"/>
    <s v="0-1 Miles"/>
    <s v="North America"/>
    <x v="4"/>
    <x v="1"/>
  </r>
  <r>
    <n v="18390"/>
    <s v="M"/>
    <s v="M"/>
    <n v="80000"/>
    <n v="5"/>
    <s v="Partial College"/>
    <x v="2"/>
    <x v="0"/>
    <x v="2"/>
    <s v="0-1 Miles"/>
    <s v="North America"/>
    <x v="20"/>
    <x v="0"/>
  </r>
  <r>
    <n v="29112"/>
    <s v="S"/>
    <s v="M"/>
    <n v="60000"/>
    <n v="0"/>
    <s v="Partial College"/>
    <x v="2"/>
    <x v="1"/>
    <x v="2"/>
    <s v="1-2 Miles"/>
    <s v="North America"/>
    <x v="25"/>
    <x v="0"/>
  </r>
  <r>
    <n v="14090"/>
    <s v="M"/>
    <s v="F"/>
    <n v="30000"/>
    <n v="0"/>
    <s v="Partial High School"/>
    <x v="1"/>
    <x v="1"/>
    <x v="2"/>
    <s v="0-1 Miles"/>
    <s v="North America"/>
    <x v="26"/>
    <x v="0"/>
  </r>
  <r>
    <n v="27040"/>
    <s v="M"/>
    <s v="M"/>
    <n v="20000"/>
    <n v="2"/>
    <s v="Partial High School"/>
    <x v="1"/>
    <x v="0"/>
    <x v="2"/>
    <s v="1-2 Miles"/>
    <s v="North America"/>
    <x v="38"/>
    <x v="0"/>
  </r>
  <r>
    <n v="23479"/>
    <s v="S"/>
    <s v="M"/>
    <n v="90000"/>
    <n v="0"/>
    <s v="Partial College"/>
    <x v="2"/>
    <x v="1"/>
    <x v="2"/>
    <s v="0-1 Miles"/>
    <s v="North America"/>
    <x v="1"/>
    <x v="1"/>
  </r>
  <r>
    <n v="16795"/>
    <s v="M"/>
    <s v="F"/>
    <n v="70000"/>
    <n v="4"/>
    <s v="Bachelors"/>
    <x v="4"/>
    <x v="0"/>
    <x v="1"/>
    <s v="1-2 Miles"/>
    <s v="North America"/>
    <x v="14"/>
    <x v="0"/>
  </r>
  <r>
    <n v="22014"/>
    <s v="S"/>
    <s v="M"/>
    <n v="30000"/>
    <n v="0"/>
    <s v="High School"/>
    <x v="0"/>
    <x v="0"/>
    <x v="2"/>
    <s v="5-10 Miles"/>
    <s v="North America"/>
    <x v="22"/>
    <x v="0"/>
  </r>
  <r>
    <n v="13314"/>
    <s v="M"/>
    <s v="M"/>
    <n v="120000"/>
    <n v="1"/>
    <s v="High School"/>
    <x v="2"/>
    <x v="0"/>
    <x v="3"/>
    <s v="5-10 Miles"/>
    <s v="North America"/>
    <x v="30"/>
    <x v="1"/>
  </r>
  <r>
    <n v="11619"/>
    <s v="S"/>
    <s v="F"/>
    <n v="50000"/>
    <n v="0"/>
    <s v="Graduate Degree"/>
    <x v="0"/>
    <x v="0"/>
    <x v="0"/>
    <s v="1-2 Miles"/>
    <s v="North America"/>
    <x v="6"/>
    <x v="0"/>
  </r>
  <r>
    <n v="29132"/>
    <s v="S"/>
    <s v="F"/>
    <n v="40000"/>
    <n v="0"/>
    <s v="Bachelors"/>
    <x v="2"/>
    <x v="0"/>
    <x v="1"/>
    <s v="2-5 Miles"/>
    <s v="North America"/>
    <x v="0"/>
    <x v="1"/>
  </r>
  <r>
    <n v="11199"/>
    <s v="M"/>
    <s v="F"/>
    <n v="70000"/>
    <n v="4"/>
    <s v="Bachelors"/>
    <x v="4"/>
    <x v="0"/>
    <x v="1"/>
    <s v="10+ Miles"/>
    <s v="North America"/>
    <x v="14"/>
    <x v="0"/>
  </r>
  <r>
    <n v="20296"/>
    <s v="S"/>
    <s v="F"/>
    <n v="60000"/>
    <n v="0"/>
    <s v="Partial College"/>
    <x v="0"/>
    <x v="1"/>
    <x v="1"/>
    <s v="1-2 Miles"/>
    <s v="North America"/>
    <x v="6"/>
    <x v="1"/>
  </r>
  <r>
    <n v="17546"/>
    <s v="M"/>
    <s v="F"/>
    <n v="70000"/>
    <n v="1"/>
    <s v="Partial College"/>
    <x v="0"/>
    <x v="0"/>
    <x v="1"/>
    <s v="0-1 Miles"/>
    <s v="North America"/>
    <x v="20"/>
    <x v="1"/>
  </r>
  <r>
    <n v="18069"/>
    <s v="M"/>
    <s v="M"/>
    <n v="70000"/>
    <n v="5"/>
    <s v="Bachelors"/>
    <x v="4"/>
    <x v="0"/>
    <x v="3"/>
    <s v="10+ Miles"/>
    <s v="North America"/>
    <x v="2"/>
    <x v="0"/>
  </r>
  <r>
    <n v="23712"/>
    <s v="S"/>
    <s v="F"/>
    <n v="70000"/>
    <n v="2"/>
    <s v="Bachelors"/>
    <x v="4"/>
    <x v="0"/>
    <x v="1"/>
    <s v="10+ Miles"/>
    <s v="North America"/>
    <x v="14"/>
    <x v="0"/>
  </r>
  <r>
    <n v="23358"/>
    <s v="M"/>
    <s v="M"/>
    <n v="60000"/>
    <n v="0"/>
    <s v="High School"/>
    <x v="2"/>
    <x v="0"/>
    <x v="2"/>
    <s v="5-10 Miles"/>
    <s v="North America"/>
    <x v="21"/>
    <x v="1"/>
  </r>
  <r>
    <n v="20518"/>
    <s v="M"/>
    <s v="F"/>
    <n v="70000"/>
    <n v="2"/>
    <s v="Partial College"/>
    <x v="2"/>
    <x v="0"/>
    <x v="1"/>
    <s v="10+ Miles"/>
    <s v="North America"/>
    <x v="7"/>
    <x v="0"/>
  </r>
  <r>
    <n v="28026"/>
    <s v="M"/>
    <s v="F"/>
    <n v="40000"/>
    <n v="2"/>
    <s v="High School"/>
    <x v="2"/>
    <x v="1"/>
    <x v="2"/>
    <s v="2-5 Miles"/>
    <s v="North America"/>
    <x v="14"/>
    <x v="0"/>
  </r>
  <r>
    <n v="11669"/>
    <s v="S"/>
    <s v="F"/>
    <n v="70000"/>
    <n v="2"/>
    <s v="Bachelors"/>
    <x v="0"/>
    <x v="0"/>
    <x v="1"/>
    <s v="2-5 Miles"/>
    <s v="North America"/>
    <x v="13"/>
    <x v="0"/>
  </r>
  <r>
    <n v="16020"/>
    <s v="M"/>
    <s v="M"/>
    <n v="40000"/>
    <n v="0"/>
    <s v="High School"/>
    <x v="0"/>
    <x v="0"/>
    <x v="2"/>
    <s v="5-10 Miles"/>
    <s v="North America"/>
    <x v="26"/>
    <x v="1"/>
  </r>
  <r>
    <n v="27090"/>
    <s v="M"/>
    <s v="F"/>
    <n v="60000"/>
    <n v="1"/>
    <s v="Graduate Degree"/>
    <x v="2"/>
    <x v="0"/>
    <x v="0"/>
    <s v="2-5 Miles"/>
    <s v="North America"/>
    <x v="34"/>
    <x v="1"/>
  </r>
  <r>
    <n v="27198"/>
    <s v="S"/>
    <s v="F"/>
    <n v="80000"/>
    <n v="0"/>
    <s v="Graduate Degree"/>
    <x v="0"/>
    <x v="1"/>
    <x v="0"/>
    <s v="0-1 Miles"/>
    <s v="North America"/>
    <x v="8"/>
    <x v="0"/>
  </r>
  <r>
    <n v="19661"/>
    <s v="S"/>
    <s v="M"/>
    <n v="90000"/>
    <n v="4"/>
    <s v="Bachelors"/>
    <x v="4"/>
    <x v="0"/>
    <x v="1"/>
    <s v="1-2 Miles"/>
    <s v="North America"/>
    <x v="13"/>
    <x v="1"/>
  </r>
  <r>
    <n v="26327"/>
    <s v="M"/>
    <s v="M"/>
    <n v="70000"/>
    <n v="4"/>
    <s v="Graduate Degree"/>
    <x v="2"/>
    <x v="0"/>
    <x v="0"/>
    <s v="2-5 Miles"/>
    <s v="North America"/>
    <x v="4"/>
    <x v="1"/>
  </r>
  <r>
    <n v="26341"/>
    <s v="M"/>
    <s v="F"/>
    <n v="70000"/>
    <n v="5"/>
    <s v="Graduate Degree"/>
    <x v="2"/>
    <x v="0"/>
    <x v="2"/>
    <s v="0-1 Miles"/>
    <s v="North America"/>
    <x v="34"/>
    <x v="0"/>
  </r>
  <r>
    <n v="24958"/>
    <s v="S"/>
    <s v="F"/>
    <n v="40000"/>
    <n v="5"/>
    <s v="High School"/>
    <x v="2"/>
    <x v="1"/>
    <x v="4"/>
    <s v="2-5 Miles"/>
    <s v="North America"/>
    <x v="2"/>
    <x v="1"/>
  </r>
  <r>
    <n v="13287"/>
    <s v="S"/>
    <s v="M"/>
    <n v="110000"/>
    <n v="4"/>
    <s v="Bachelors"/>
    <x v="4"/>
    <x v="0"/>
    <x v="3"/>
    <s v="5-10 Miles"/>
    <s v="North America"/>
    <x v="0"/>
    <x v="1"/>
  </r>
  <r>
    <n v="14493"/>
    <s v="S"/>
    <s v="F"/>
    <n v="70000"/>
    <n v="3"/>
    <s v="Graduate Degree"/>
    <x v="4"/>
    <x v="1"/>
    <x v="2"/>
    <s v="1-2 Miles"/>
    <s v="North America"/>
    <x v="39"/>
    <x v="0"/>
  </r>
  <r>
    <n v="26678"/>
    <s v="S"/>
    <s v="F"/>
    <n v="80000"/>
    <n v="2"/>
    <s v="Partial High School"/>
    <x v="0"/>
    <x v="0"/>
    <x v="2"/>
    <s v="5-10 Miles"/>
    <s v="North America"/>
    <x v="38"/>
    <x v="0"/>
  </r>
  <r>
    <n v="23275"/>
    <s v="M"/>
    <s v="M"/>
    <n v="30000"/>
    <n v="2"/>
    <s v="High School"/>
    <x v="0"/>
    <x v="0"/>
    <x v="2"/>
    <s v="1-2 Miles"/>
    <s v="North America"/>
    <x v="38"/>
    <x v="0"/>
  </r>
  <r>
    <n v="11270"/>
    <s v="M"/>
    <s v="M"/>
    <n v="130000"/>
    <n v="2"/>
    <s v="Graduate Degree"/>
    <x v="4"/>
    <x v="0"/>
    <x v="4"/>
    <s v="0-1 Miles"/>
    <s v="North America"/>
    <x v="0"/>
    <x v="1"/>
  </r>
  <r>
    <n v="20084"/>
    <s v="M"/>
    <s v="M"/>
    <n v="20000"/>
    <n v="2"/>
    <s v="High School"/>
    <x v="3"/>
    <x v="1"/>
    <x v="2"/>
    <s v="0-1 Miles"/>
    <s v="North America"/>
    <x v="39"/>
    <x v="0"/>
  </r>
  <r>
    <n v="16144"/>
    <s v="M"/>
    <s v="M"/>
    <n v="70000"/>
    <n v="1"/>
    <s v="Graduate Degree"/>
    <x v="2"/>
    <x v="0"/>
    <x v="1"/>
    <s v="0-1 Miles"/>
    <s v="North America"/>
    <x v="30"/>
    <x v="1"/>
  </r>
  <r>
    <n v="27731"/>
    <s v="M"/>
    <s v="M"/>
    <n v="40000"/>
    <n v="0"/>
    <s v="High School"/>
    <x v="0"/>
    <x v="0"/>
    <x v="2"/>
    <s v="5-10 Miles"/>
    <s v="North America"/>
    <x v="40"/>
    <x v="0"/>
  </r>
  <r>
    <n v="11886"/>
    <s v="M"/>
    <s v="F"/>
    <n v="60000"/>
    <n v="3"/>
    <s v="Bachelors"/>
    <x v="2"/>
    <x v="0"/>
    <x v="1"/>
    <s v="0-1 Miles"/>
    <s v="North America"/>
    <x v="28"/>
    <x v="1"/>
  </r>
  <r>
    <n v="24324"/>
    <s v="S"/>
    <s v="F"/>
    <n v="60000"/>
    <n v="4"/>
    <s v="Bachelors"/>
    <x v="0"/>
    <x v="0"/>
    <x v="2"/>
    <s v="2-5 Miles"/>
    <s v="North America"/>
    <x v="3"/>
    <x v="1"/>
  </r>
  <r>
    <n v="22220"/>
    <s v="M"/>
    <s v="M"/>
    <n v="60000"/>
    <n v="2"/>
    <s v="High School"/>
    <x v="2"/>
    <x v="1"/>
    <x v="2"/>
    <s v="1-2 Miles"/>
    <s v="North America"/>
    <x v="38"/>
    <x v="1"/>
  </r>
  <r>
    <n v="26625"/>
    <s v="S"/>
    <s v="F"/>
    <n v="60000"/>
    <n v="0"/>
    <s v="Graduate Degree"/>
    <x v="2"/>
    <x v="0"/>
    <x v="1"/>
    <s v="2-5 Miles"/>
    <s v="North America"/>
    <x v="13"/>
    <x v="1"/>
  </r>
  <r>
    <n v="23027"/>
    <s v="S"/>
    <s v="M"/>
    <n v="130000"/>
    <n v="1"/>
    <s v="Bachelors"/>
    <x v="4"/>
    <x v="1"/>
    <x v="3"/>
    <s v="0-1 Miles"/>
    <s v="North America"/>
    <x v="20"/>
    <x v="0"/>
  </r>
  <r>
    <n v="16867"/>
    <s v="S"/>
    <s v="F"/>
    <n v="130000"/>
    <n v="1"/>
    <s v="Bachelors"/>
    <x v="4"/>
    <x v="1"/>
    <x v="4"/>
    <s v="0-1 Miles"/>
    <s v="North America"/>
    <x v="12"/>
    <x v="1"/>
  </r>
  <r>
    <n v="14514"/>
    <s v="S"/>
    <s v="F"/>
    <n v="30000"/>
    <n v="0"/>
    <s v="Partial College"/>
    <x v="0"/>
    <x v="0"/>
    <x v="1"/>
    <s v="5-10 Miles"/>
    <s v="North America"/>
    <x v="22"/>
    <x v="0"/>
  </r>
  <r>
    <n v="19634"/>
    <s v="M"/>
    <s v="M"/>
    <n v="40000"/>
    <n v="0"/>
    <s v="High School"/>
    <x v="0"/>
    <x v="0"/>
    <x v="1"/>
    <s v="5-10 Miles"/>
    <s v="North America"/>
    <x v="23"/>
    <x v="0"/>
  </r>
  <r>
    <n v="18504"/>
    <s v="M"/>
    <s v="M"/>
    <n v="70000"/>
    <n v="2"/>
    <s v="Partial High School"/>
    <x v="0"/>
    <x v="1"/>
    <x v="2"/>
    <s v="1-2 Miles"/>
    <s v="North America"/>
    <x v="38"/>
    <x v="0"/>
  </r>
  <r>
    <n v="28799"/>
    <s v="S"/>
    <s v="F"/>
    <n v="40000"/>
    <n v="2"/>
    <s v="Partial College"/>
    <x v="1"/>
    <x v="1"/>
    <x v="1"/>
    <s v="1-2 Miles"/>
    <s v="North America"/>
    <x v="15"/>
    <x v="1"/>
  </r>
  <r>
    <n v="11225"/>
    <s v="M"/>
    <s v="F"/>
    <n v="60000"/>
    <n v="2"/>
    <s v="Partial College"/>
    <x v="2"/>
    <x v="0"/>
    <x v="1"/>
    <s v="10+ Miles"/>
    <s v="North America"/>
    <x v="10"/>
    <x v="0"/>
  </r>
  <r>
    <n v="17657"/>
    <s v="M"/>
    <s v="M"/>
    <n v="40000"/>
    <n v="4"/>
    <s v="Partial College"/>
    <x v="1"/>
    <x v="1"/>
    <x v="0"/>
    <s v="0-1 Miles"/>
    <s v="North America"/>
    <x v="25"/>
    <x v="0"/>
  </r>
  <r>
    <n v="14913"/>
    <s v="M"/>
    <s v="F"/>
    <n v="40000"/>
    <n v="1"/>
    <s v="Partial College"/>
    <x v="1"/>
    <x v="0"/>
    <x v="1"/>
    <s v="1-2 Miles"/>
    <s v="North America"/>
    <x v="28"/>
    <x v="1"/>
  </r>
  <r>
    <n v="14077"/>
    <s v="S"/>
    <s v="M"/>
    <n v="30000"/>
    <n v="0"/>
    <s v="High School"/>
    <x v="0"/>
    <x v="0"/>
    <x v="2"/>
    <s v="5-10 Miles"/>
    <s v="North America"/>
    <x v="25"/>
    <x v="0"/>
  </r>
  <r>
    <n v="13296"/>
    <s v="M"/>
    <s v="M"/>
    <n v="110000"/>
    <n v="1"/>
    <s v="Bachelors"/>
    <x v="4"/>
    <x v="0"/>
    <x v="4"/>
    <s v="5-10 Miles"/>
    <s v="North America"/>
    <x v="12"/>
    <x v="0"/>
  </r>
  <r>
    <n v="20535"/>
    <s v="M"/>
    <s v="F"/>
    <n v="70000"/>
    <n v="4"/>
    <s v="Partial College"/>
    <x v="2"/>
    <x v="0"/>
    <x v="1"/>
    <s v="10+ Miles"/>
    <s v="North America"/>
    <x v="16"/>
    <x v="0"/>
  </r>
  <r>
    <n v="12452"/>
    <s v="M"/>
    <s v="M"/>
    <n v="60000"/>
    <n v="4"/>
    <s v="Graduate Degree"/>
    <x v="0"/>
    <x v="0"/>
    <x v="0"/>
    <s v="1-2 Miles"/>
    <s v="North America"/>
    <x v="15"/>
    <x v="1"/>
  </r>
  <r>
    <n v="28043"/>
    <s v="M"/>
    <s v="F"/>
    <n v="60000"/>
    <n v="2"/>
    <s v="Bachelors"/>
    <x v="4"/>
    <x v="0"/>
    <x v="0"/>
    <s v="10+ Miles"/>
    <s v="North America"/>
    <x v="16"/>
    <x v="0"/>
  </r>
  <r>
    <n v="12957"/>
    <s v="S"/>
    <s v="F"/>
    <n v="70000"/>
    <n v="1"/>
    <s v="Bachelors"/>
    <x v="2"/>
    <x v="1"/>
    <x v="1"/>
    <s v="0-1 Miles"/>
    <s v="North America"/>
    <x v="20"/>
    <x v="0"/>
  </r>
  <r>
    <n v="15412"/>
    <s v="M"/>
    <s v="M"/>
    <n v="130000"/>
    <n v="2"/>
    <s v="Graduate Degree"/>
    <x v="4"/>
    <x v="0"/>
    <x v="4"/>
    <s v="2-5 Miles"/>
    <s v="North America"/>
    <x v="45"/>
    <x v="0"/>
  </r>
  <r>
    <n v="20514"/>
    <s v="M"/>
    <s v="F"/>
    <n v="70000"/>
    <n v="2"/>
    <s v="Partial College"/>
    <x v="2"/>
    <x v="0"/>
    <x v="1"/>
    <s v="2-5 Miles"/>
    <s v="North America"/>
    <x v="14"/>
    <x v="0"/>
  </r>
  <r>
    <n v="20758"/>
    <s v="M"/>
    <s v="M"/>
    <n v="30000"/>
    <n v="2"/>
    <s v="High School"/>
    <x v="0"/>
    <x v="0"/>
    <x v="2"/>
    <s v="1-2 Miles"/>
    <s v="North America"/>
    <x v="5"/>
    <x v="0"/>
  </r>
  <r>
    <n v="11801"/>
    <s v="M"/>
    <s v="M"/>
    <n v="60000"/>
    <n v="1"/>
    <s v="Graduate Degree"/>
    <x v="2"/>
    <x v="0"/>
    <x v="0"/>
    <s v="2-5 Miles"/>
    <s v="North America"/>
    <x v="4"/>
    <x v="0"/>
  </r>
  <r>
    <n v="22211"/>
    <s v="M"/>
    <s v="M"/>
    <n v="60000"/>
    <n v="0"/>
    <s v="Partial College"/>
    <x v="2"/>
    <x v="0"/>
    <x v="2"/>
    <s v="5-10 Miles"/>
    <s v="North America"/>
    <x v="21"/>
    <x v="0"/>
  </r>
  <r>
    <n v="28087"/>
    <s v="S"/>
    <s v="F"/>
    <n v="40000"/>
    <n v="0"/>
    <s v="Partial College"/>
    <x v="0"/>
    <x v="1"/>
    <x v="1"/>
    <s v="1-2 Miles"/>
    <s v="North America"/>
    <x v="40"/>
    <x v="0"/>
  </r>
  <r>
    <n v="23668"/>
    <s v="M"/>
    <s v="F"/>
    <n v="40000"/>
    <n v="4"/>
    <s v="High School"/>
    <x v="2"/>
    <x v="0"/>
    <x v="2"/>
    <s v="5-10 Miles"/>
    <s v="North America"/>
    <x v="14"/>
    <x v="1"/>
  </r>
  <r>
    <n v="27441"/>
    <s v="M"/>
    <s v="M"/>
    <n v="60000"/>
    <n v="3"/>
    <s v="High School"/>
    <x v="2"/>
    <x v="1"/>
    <x v="2"/>
    <s v="2-5 Miles"/>
    <s v="North America"/>
    <x v="39"/>
    <x v="0"/>
  </r>
  <r>
    <n v="27261"/>
    <s v="M"/>
    <s v="M"/>
    <n v="40000"/>
    <n v="1"/>
    <s v="Bachelors"/>
    <x v="0"/>
    <x v="1"/>
    <x v="1"/>
    <s v="0-1 Miles"/>
    <s v="North America"/>
    <x v="4"/>
    <x v="1"/>
  </r>
  <r>
    <n v="18649"/>
    <s v="S"/>
    <s v="M"/>
    <n v="30000"/>
    <n v="1"/>
    <s v="High School"/>
    <x v="1"/>
    <x v="0"/>
    <x v="2"/>
    <s v="1-2 Miles"/>
    <s v="North America"/>
    <x v="36"/>
    <x v="1"/>
  </r>
  <r>
    <n v="21714"/>
    <s v="S"/>
    <s v="F"/>
    <n v="80000"/>
    <n v="5"/>
    <s v="Graduate Degree"/>
    <x v="0"/>
    <x v="1"/>
    <x v="0"/>
    <s v="0-1 Miles"/>
    <s v="North America"/>
    <x v="15"/>
    <x v="0"/>
  </r>
  <r>
    <n v="23217"/>
    <s v="S"/>
    <s v="F"/>
    <n v="60000"/>
    <n v="3"/>
    <s v="Graduate Degree"/>
    <x v="2"/>
    <x v="0"/>
    <x v="0"/>
    <s v="2-5 Miles"/>
    <s v="North America"/>
    <x v="1"/>
    <x v="1"/>
  </r>
  <r>
    <n v="23797"/>
    <s v="S"/>
    <s v="M"/>
    <n v="20000"/>
    <n v="3"/>
    <s v="Partial High School"/>
    <x v="1"/>
    <x v="1"/>
    <x v="2"/>
    <s v="0-1 Miles"/>
    <s v="North America"/>
    <x v="5"/>
    <x v="0"/>
  </r>
  <r>
    <n v="13216"/>
    <s v="M"/>
    <s v="F"/>
    <n v="60000"/>
    <n v="5"/>
    <s v="Bachelors"/>
    <x v="4"/>
    <x v="0"/>
    <x v="4"/>
    <s v="10+ Miles"/>
    <s v="North America"/>
    <x v="14"/>
    <x v="0"/>
  </r>
  <r>
    <n v="20657"/>
    <s v="S"/>
    <s v="M"/>
    <n v="50000"/>
    <n v="2"/>
    <s v="Bachelors"/>
    <x v="0"/>
    <x v="0"/>
    <x v="0"/>
    <s v="2-5 Miles"/>
    <s v="North America"/>
    <x v="34"/>
    <x v="1"/>
  </r>
  <r>
    <n v="12882"/>
    <s v="M"/>
    <s v="M"/>
    <n v="50000"/>
    <n v="1"/>
    <s v="Graduate Degree"/>
    <x v="0"/>
    <x v="0"/>
    <x v="0"/>
    <s v="0-1 Miles"/>
    <s v="North America"/>
    <x v="6"/>
    <x v="1"/>
  </r>
  <r>
    <n v="25908"/>
    <s v="M"/>
    <s v="F"/>
    <n v="60000"/>
    <n v="0"/>
    <s v="Partial College"/>
    <x v="0"/>
    <x v="1"/>
    <x v="1"/>
    <s v="1-2 Miles"/>
    <s v="North America"/>
    <x v="40"/>
    <x v="0"/>
  </r>
  <r>
    <n v="16753"/>
    <s v="S"/>
    <s v="F"/>
    <n v="70000"/>
    <n v="0"/>
    <s v="Partial College"/>
    <x v="0"/>
    <x v="0"/>
    <x v="2"/>
    <s v="5-10 Miles"/>
    <s v="North America"/>
    <x v="17"/>
    <x v="1"/>
  </r>
  <r>
    <n v="14608"/>
    <s v="M"/>
    <s v="M"/>
    <n v="50000"/>
    <n v="4"/>
    <s v="Bachelors"/>
    <x v="0"/>
    <x v="0"/>
    <x v="4"/>
    <s v="10+ Miles"/>
    <s v="North America"/>
    <x v="0"/>
    <x v="0"/>
  </r>
  <r>
    <n v="24979"/>
    <s v="M"/>
    <s v="F"/>
    <n v="60000"/>
    <n v="2"/>
    <s v="Partial College"/>
    <x v="2"/>
    <x v="0"/>
    <x v="2"/>
    <s v="2-5 Miles"/>
    <s v="North America"/>
    <x v="42"/>
    <x v="1"/>
  </r>
  <r>
    <n v="13313"/>
    <s v="M"/>
    <s v="F"/>
    <n v="120000"/>
    <n v="1"/>
    <s v="High School"/>
    <x v="2"/>
    <x v="1"/>
    <x v="3"/>
    <s v="2-5 Miles"/>
    <s v="North America"/>
    <x v="12"/>
    <x v="0"/>
  </r>
  <r>
    <n v="18952"/>
    <s v="M"/>
    <s v="F"/>
    <n v="100000"/>
    <n v="4"/>
    <s v="Bachelors"/>
    <x v="4"/>
    <x v="0"/>
    <x v="3"/>
    <s v="0-1 Miles"/>
    <s v="North America"/>
    <x v="8"/>
    <x v="0"/>
  </r>
  <r>
    <n v="17699"/>
    <s v="M"/>
    <s v="M"/>
    <n v="60000"/>
    <n v="1"/>
    <s v="Graduate Degree"/>
    <x v="0"/>
    <x v="1"/>
    <x v="0"/>
    <s v="0-1 Miles"/>
    <s v="North America"/>
    <x v="10"/>
    <x v="0"/>
  </r>
  <r>
    <n v="14657"/>
    <s v="M"/>
    <s v="M"/>
    <n v="80000"/>
    <n v="1"/>
    <s v="Partial College"/>
    <x v="0"/>
    <x v="1"/>
    <x v="1"/>
    <s v="0-1 Miles"/>
    <s v="North America"/>
    <x v="15"/>
    <x v="1"/>
  </r>
  <r>
    <n v="11540"/>
    <s v="S"/>
    <s v="M"/>
    <n v="60000"/>
    <n v="4"/>
    <s v="Graduate Degree"/>
    <x v="0"/>
    <x v="0"/>
    <x v="0"/>
    <s v="1-2 Miles"/>
    <s v="North America"/>
    <x v="15"/>
    <x v="1"/>
  </r>
  <r>
    <n v="11783"/>
    <s v="M"/>
    <s v="F"/>
    <n v="60000"/>
    <n v="1"/>
    <s v="Graduate Degree"/>
    <x v="0"/>
    <x v="0"/>
    <x v="0"/>
    <s v="0-1 Miles"/>
    <s v="North America"/>
    <x v="17"/>
    <x v="0"/>
  </r>
  <r>
    <n v="14602"/>
    <s v="M"/>
    <s v="F"/>
    <n v="80000"/>
    <n v="3"/>
    <s v="Graduate Degree"/>
    <x v="2"/>
    <x v="0"/>
    <x v="0"/>
    <s v="0-1 Miles"/>
    <s v="North America"/>
    <x v="4"/>
    <x v="1"/>
  </r>
  <r>
    <n v="29030"/>
    <s v="M"/>
    <s v="M"/>
    <n v="70000"/>
    <n v="2"/>
    <s v="Partial High School"/>
    <x v="0"/>
    <x v="0"/>
    <x v="2"/>
    <s v="10+ Miles"/>
    <s v="North America"/>
    <x v="9"/>
    <x v="0"/>
  </r>
  <r>
    <n v="26490"/>
    <s v="S"/>
    <s v="M"/>
    <n v="70000"/>
    <n v="2"/>
    <s v="Bachelors"/>
    <x v="4"/>
    <x v="1"/>
    <x v="1"/>
    <s v="2-5 Miles"/>
    <s v="North America"/>
    <x v="14"/>
    <x v="1"/>
  </r>
  <r>
    <n v="13151"/>
    <s v="S"/>
    <s v="M"/>
    <n v="40000"/>
    <n v="0"/>
    <s v="High School"/>
    <x v="0"/>
    <x v="0"/>
    <x v="2"/>
    <s v="5-10 Miles"/>
    <s v="North America"/>
    <x v="40"/>
    <x v="0"/>
  </r>
  <r>
    <n v="17260"/>
    <s v="M"/>
    <s v="M"/>
    <n v="90000"/>
    <n v="5"/>
    <s v="Partial College"/>
    <x v="2"/>
    <x v="0"/>
    <x v="4"/>
    <s v="0-1 Miles"/>
    <s v="North America"/>
    <x v="3"/>
    <x v="0"/>
  </r>
  <r>
    <n v="15372"/>
    <s v="M"/>
    <s v="M"/>
    <n v="80000"/>
    <n v="3"/>
    <s v="Partial College"/>
    <x v="2"/>
    <x v="1"/>
    <x v="2"/>
    <s v="2-5 Miles"/>
    <s v="North America"/>
    <x v="5"/>
    <x v="1"/>
  </r>
  <r>
    <n v="18105"/>
    <s v="M"/>
    <s v="F"/>
    <n v="60000"/>
    <n v="2"/>
    <s v="Partial College"/>
    <x v="2"/>
    <x v="0"/>
    <x v="1"/>
    <s v="10+ Miles"/>
    <s v="North America"/>
    <x v="10"/>
    <x v="0"/>
  </r>
  <r>
    <n v="19660"/>
    <s v="M"/>
    <s v="M"/>
    <n v="80000"/>
    <n v="4"/>
    <s v="Bachelors"/>
    <x v="4"/>
    <x v="0"/>
    <x v="0"/>
    <s v="0-1 Miles"/>
    <s v="North America"/>
    <x v="1"/>
    <x v="0"/>
  </r>
  <r>
    <n v="16112"/>
    <s v="S"/>
    <s v="M"/>
    <n v="70000"/>
    <n v="4"/>
    <s v="Bachelors"/>
    <x v="2"/>
    <x v="0"/>
    <x v="2"/>
    <s v="2-5 Miles"/>
    <s v="North America"/>
    <x v="1"/>
    <x v="1"/>
  </r>
  <r>
    <n v="20698"/>
    <s v="M"/>
    <s v="M"/>
    <n v="60000"/>
    <n v="4"/>
    <s v="Bachelors"/>
    <x v="0"/>
    <x v="0"/>
    <x v="4"/>
    <s v="5-10 Miles"/>
    <s v="North America"/>
    <x v="0"/>
    <x v="0"/>
  </r>
  <r>
    <n v="20076"/>
    <s v="S"/>
    <s v="F"/>
    <n v="10000"/>
    <n v="2"/>
    <s v="High School"/>
    <x v="3"/>
    <x v="0"/>
    <x v="2"/>
    <s v="1-2 Miles"/>
    <s v="North America"/>
    <x v="39"/>
    <x v="1"/>
  </r>
  <r>
    <n v="24496"/>
    <s v="S"/>
    <s v="F"/>
    <n v="40000"/>
    <n v="0"/>
    <s v="High School"/>
    <x v="0"/>
    <x v="1"/>
    <x v="2"/>
    <s v="0-1 Miles"/>
    <s v="North America"/>
    <x v="26"/>
    <x v="1"/>
  </r>
  <r>
    <n v="15468"/>
    <s v="M"/>
    <s v="F"/>
    <n v="50000"/>
    <n v="1"/>
    <s v="Bachelors"/>
    <x v="0"/>
    <x v="0"/>
    <x v="1"/>
    <s v="0-1 Miles"/>
    <s v="North America"/>
    <x v="11"/>
    <x v="0"/>
  </r>
  <r>
    <n v="28031"/>
    <s v="S"/>
    <s v="F"/>
    <n v="70000"/>
    <n v="2"/>
    <s v="Bachelors"/>
    <x v="4"/>
    <x v="1"/>
    <x v="1"/>
    <s v="2-5 Miles"/>
    <s v="North America"/>
    <x v="14"/>
    <x v="1"/>
  </r>
  <r>
    <n v="26270"/>
    <s v="S"/>
    <s v="F"/>
    <n v="20000"/>
    <n v="2"/>
    <s v="Partial High School"/>
    <x v="1"/>
    <x v="0"/>
    <x v="2"/>
    <s v="1-2 Miles"/>
    <s v="North America"/>
    <x v="38"/>
    <x v="0"/>
  </r>
  <r>
    <n v="22221"/>
    <s v="M"/>
    <s v="M"/>
    <n v="60000"/>
    <n v="2"/>
    <s v="High School"/>
    <x v="2"/>
    <x v="1"/>
    <x v="2"/>
    <s v="1-2 Miles"/>
    <s v="North America"/>
    <x v="28"/>
    <x v="1"/>
  </r>
  <r>
    <n v="28228"/>
    <s v="S"/>
    <s v="F"/>
    <n v="80000"/>
    <n v="2"/>
    <s v="Partial High School"/>
    <x v="0"/>
    <x v="1"/>
    <x v="2"/>
    <s v="1-2 Miles"/>
    <s v="North America"/>
    <x v="5"/>
    <x v="0"/>
  </r>
  <r>
    <n v="18363"/>
    <s v="M"/>
    <s v="M"/>
    <n v="40000"/>
    <n v="0"/>
    <s v="High School"/>
    <x v="0"/>
    <x v="0"/>
    <x v="2"/>
    <s v="5-10 Miles"/>
    <s v="North America"/>
    <x v="26"/>
    <x v="1"/>
  </r>
  <r>
    <n v="23256"/>
    <s v="S"/>
    <s v="M"/>
    <n v="30000"/>
    <n v="1"/>
    <s v="High School"/>
    <x v="1"/>
    <x v="1"/>
    <x v="1"/>
    <s v="5-10 Miles"/>
    <s v="North America"/>
    <x v="31"/>
    <x v="0"/>
  </r>
  <r>
    <n v="12768"/>
    <s v="M"/>
    <s v="M"/>
    <n v="30000"/>
    <n v="1"/>
    <s v="High School"/>
    <x v="1"/>
    <x v="0"/>
    <x v="1"/>
    <s v="2-5 Miles"/>
    <s v="North America"/>
    <x v="31"/>
    <x v="1"/>
  </r>
  <r>
    <n v="20361"/>
    <s v="M"/>
    <s v="M"/>
    <n v="50000"/>
    <n v="2"/>
    <s v="Graduate Degree"/>
    <x v="4"/>
    <x v="0"/>
    <x v="2"/>
    <s v="5-10 Miles"/>
    <s v="North America"/>
    <x v="45"/>
    <x v="0"/>
  </r>
  <r>
    <n v="21306"/>
    <s v="S"/>
    <s v="M"/>
    <n v="60000"/>
    <n v="2"/>
    <s v="High School"/>
    <x v="2"/>
    <x v="0"/>
    <x v="2"/>
    <s v="5-10 Miles"/>
    <s v="North America"/>
    <x v="36"/>
    <x v="0"/>
  </r>
  <r>
    <n v="13382"/>
    <s v="M"/>
    <s v="M"/>
    <n v="70000"/>
    <n v="5"/>
    <s v="Partial College"/>
    <x v="2"/>
    <x v="0"/>
    <x v="2"/>
    <s v="1-2 Miles"/>
    <s v="North America"/>
    <x v="42"/>
    <x v="1"/>
  </r>
  <r>
    <n v="20310"/>
    <s v="S"/>
    <s v="M"/>
    <n v="60000"/>
    <n v="0"/>
    <s v="Partial College"/>
    <x v="0"/>
    <x v="0"/>
    <x v="1"/>
    <s v="5-10 Miles"/>
    <s v="North America"/>
    <x v="40"/>
    <x v="1"/>
  </r>
  <r>
    <n v="22971"/>
    <s v="S"/>
    <s v="F"/>
    <n v="30000"/>
    <n v="0"/>
    <s v="High School"/>
    <x v="0"/>
    <x v="1"/>
    <x v="2"/>
    <s v="0-1 Miles"/>
    <s v="North America"/>
    <x v="37"/>
    <x v="1"/>
  </r>
  <r>
    <n v="15287"/>
    <s v="S"/>
    <s v="F"/>
    <n v="50000"/>
    <n v="1"/>
    <s v="Graduate Degree"/>
    <x v="0"/>
    <x v="0"/>
    <x v="0"/>
    <s v="1-2 Miles"/>
    <s v="North America"/>
    <x v="6"/>
    <x v="1"/>
  </r>
  <r>
    <n v="15532"/>
    <s v="S"/>
    <s v="M"/>
    <n v="60000"/>
    <n v="4"/>
    <s v="Bachelors"/>
    <x v="2"/>
    <x v="0"/>
    <x v="2"/>
    <s v="2-5 Miles"/>
    <s v="North America"/>
    <x v="1"/>
    <x v="1"/>
  </r>
  <r>
    <n v="11255"/>
    <s v="M"/>
    <s v="M"/>
    <n v="70000"/>
    <n v="4"/>
    <s v="Graduate Degree"/>
    <x v="4"/>
    <x v="0"/>
    <x v="2"/>
    <s v="5-10 Miles"/>
    <s v="North America"/>
    <x v="49"/>
    <x v="0"/>
  </r>
  <r>
    <n v="28090"/>
    <s v="M"/>
    <s v="M"/>
    <n v="40000"/>
    <n v="0"/>
    <s v="Partial College"/>
    <x v="0"/>
    <x v="0"/>
    <x v="1"/>
    <s v="5-10 Miles"/>
    <s v="North America"/>
    <x v="40"/>
    <x v="0"/>
  </r>
  <r>
    <n v="15255"/>
    <s v="M"/>
    <s v="M"/>
    <n v="40000"/>
    <n v="0"/>
    <s v="High School"/>
    <x v="0"/>
    <x v="0"/>
    <x v="2"/>
    <s v="5-10 Miles"/>
    <s v="North America"/>
    <x v="26"/>
    <x v="1"/>
  </r>
  <r>
    <n v="13154"/>
    <s v="M"/>
    <s v="M"/>
    <n v="40000"/>
    <n v="0"/>
    <s v="High School"/>
    <x v="0"/>
    <x v="1"/>
    <x v="2"/>
    <s v="0-1 Miles"/>
    <s v="North America"/>
    <x v="40"/>
    <x v="1"/>
  </r>
  <r>
    <n v="26778"/>
    <s v="S"/>
    <s v="F"/>
    <n v="40000"/>
    <n v="0"/>
    <s v="High School"/>
    <x v="0"/>
    <x v="0"/>
    <x v="2"/>
    <s v="5-10 Miles"/>
    <s v="North America"/>
    <x v="23"/>
    <x v="0"/>
  </r>
  <r>
    <n v="23248"/>
    <s v="M"/>
    <s v="F"/>
    <n v="10000"/>
    <n v="2"/>
    <s v="High School"/>
    <x v="3"/>
    <x v="0"/>
    <x v="2"/>
    <s v="1-2 Miles"/>
    <s v="North America"/>
    <x v="39"/>
    <x v="0"/>
  </r>
  <r>
    <n v="21417"/>
    <s v="S"/>
    <s v="F"/>
    <n v="60000"/>
    <n v="0"/>
    <s v="Partial College"/>
    <x v="2"/>
    <x v="1"/>
    <x v="2"/>
    <s v="1-2 Miles"/>
    <s v="North America"/>
    <x v="21"/>
    <x v="1"/>
  </r>
  <r>
    <n v="17668"/>
    <s v="S"/>
    <s v="M"/>
    <n v="30000"/>
    <n v="2"/>
    <s v="High School"/>
    <x v="0"/>
    <x v="0"/>
    <x v="2"/>
    <s v="1-2 Miles"/>
    <s v="North America"/>
    <x v="5"/>
    <x v="1"/>
  </r>
  <r>
    <n v="27994"/>
    <s v="M"/>
    <s v="F"/>
    <n v="40000"/>
    <n v="4"/>
    <s v="High School"/>
    <x v="2"/>
    <x v="0"/>
    <x v="2"/>
    <s v="5-10 Miles"/>
    <s v="North America"/>
    <x v="45"/>
    <x v="0"/>
  </r>
  <r>
    <n v="20376"/>
    <s v="S"/>
    <s v="F"/>
    <n v="70000"/>
    <n v="3"/>
    <s v="Graduate Degree"/>
    <x v="4"/>
    <x v="0"/>
    <x v="2"/>
    <s v="5-10 Miles"/>
    <s v="North America"/>
    <x v="31"/>
    <x v="1"/>
  </r>
  <r>
    <n v="25954"/>
    <s v="M"/>
    <s v="M"/>
    <n v="60000"/>
    <n v="0"/>
    <s v="Partial College"/>
    <x v="0"/>
    <x v="1"/>
    <x v="2"/>
    <s v="1-2 Miles"/>
    <s v="North America"/>
    <x v="23"/>
    <x v="0"/>
  </r>
  <r>
    <n v="15749"/>
    <s v="S"/>
    <s v="F"/>
    <n v="70000"/>
    <n v="4"/>
    <s v="Bachelors"/>
    <x v="4"/>
    <x v="0"/>
    <x v="2"/>
    <s v="10+ Miles"/>
    <s v="North America"/>
    <x v="33"/>
    <x v="0"/>
  </r>
  <r>
    <n v="25899"/>
    <s v="M"/>
    <s v="F"/>
    <n v="70000"/>
    <n v="2"/>
    <s v="High School"/>
    <x v="2"/>
    <x v="0"/>
    <x v="2"/>
    <s v="10+ Miles"/>
    <s v="North America"/>
    <x v="39"/>
    <x v="0"/>
  </r>
  <r>
    <n v="13351"/>
    <s v="S"/>
    <s v="F"/>
    <n v="70000"/>
    <n v="4"/>
    <s v="Bachelors"/>
    <x v="4"/>
    <x v="0"/>
    <x v="2"/>
    <s v="1-2 Miles"/>
    <s v="North America"/>
    <x v="24"/>
    <x v="1"/>
  </r>
  <r>
    <n v="23333"/>
    <s v="M"/>
    <s v="M"/>
    <n v="40000"/>
    <n v="0"/>
    <s v="Partial College"/>
    <x v="0"/>
    <x v="1"/>
    <x v="2"/>
    <s v="1-2 Miles"/>
    <s v="North America"/>
    <x v="25"/>
    <x v="0"/>
  </r>
  <r>
    <n v="21660"/>
    <s v="M"/>
    <s v="F"/>
    <n v="60000"/>
    <n v="3"/>
    <s v="Graduate Degree"/>
    <x v="2"/>
    <x v="0"/>
    <x v="0"/>
    <s v="2-5 Miles"/>
    <s v="North America"/>
    <x v="1"/>
    <x v="1"/>
  </r>
  <r>
    <n v="17012"/>
    <s v="M"/>
    <s v="F"/>
    <n v="60000"/>
    <n v="3"/>
    <s v="Graduate Degree"/>
    <x v="2"/>
    <x v="0"/>
    <x v="0"/>
    <s v="2-5 Miles"/>
    <s v="North America"/>
    <x v="0"/>
    <x v="1"/>
  </r>
  <r>
    <n v="24514"/>
    <s v="M"/>
    <s v="M"/>
    <n v="40000"/>
    <n v="0"/>
    <s v="Partial College"/>
    <x v="0"/>
    <x v="0"/>
    <x v="1"/>
    <s v="5-10 Miles"/>
    <s v="North America"/>
    <x v="25"/>
    <x v="0"/>
  </r>
  <r>
    <n v="27505"/>
    <s v="S"/>
    <s v="F"/>
    <n v="40000"/>
    <n v="0"/>
    <s v="High School"/>
    <x v="0"/>
    <x v="0"/>
    <x v="2"/>
    <s v="5-10 Miles"/>
    <s v="North America"/>
    <x v="25"/>
    <x v="0"/>
  </r>
  <r>
    <n v="29243"/>
    <s v="S"/>
    <s v="M"/>
    <n v="110000"/>
    <n v="1"/>
    <s v="Bachelors"/>
    <x v="4"/>
    <x v="0"/>
    <x v="1"/>
    <s v="5-10 Miles"/>
    <s v="North America"/>
    <x v="1"/>
    <x v="0"/>
  </r>
  <r>
    <n v="26582"/>
    <s v="M"/>
    <s v="M"/>
    <n v="60000"/>
    <n v="0"/>
    <s v="Partial College"/>
    <x v="0"/>
    <x v="0"/>
    <x v="2"/>
    <s v="5-10 Miles"/>
    <s v="North America"/>
    <x v="6"/>
    <x v="1"/>
  </r>
  <r>
    <n v="14271"/>
    <s v="M"/>
    <s v="M"/>
    <n v="30000"/>
    <n v="0"/>
    <s v="High School"/>
    <x v="0"/>
    <x v="0"/>
    <x v="2"/>
    <s v="5-10 Miles"/>
    <s v="North America"/>
    <x v="21"/>
    <x v="0"/>
  </r>
  <r>
    <n v="23041"/>
    <s v="S"/>
    <s v="F"/>
    <n v="70000"/>
    <n v="4"/>
    <s v="High School"/>
    <x v="2"/>
    <x v="0"/>
    <x v="0"/>
    <s v="5-10 Miles"/>
    <s v="North America"/>
    <x v="5"/>
    <x v="1"/>
  </r>
  <r>
    <n v="29048"/>
    <s v="S"/>
    <s v="M"/>
    <n v="110000"/>
    <n v="2"/>
    <s v="Bachelors"/>
    <x v="4"/>
    <x v="1"/>
    <x v="4"/>
    <s v="0-1 Miles"/>
    <s v="North America"/>
    <x v="34"/>
    <x v="1"/>
  </r>
  <r>
    <n v="24433"/>
    <s v="M"/>
    <s v="M"/>
    <n v="70000"/>
    <n v="3"/>
    <s v="High School"/>
    <x v="2"/>
    <x v="1"/>
    <x v="1"/>
    <s v="1-2 Miles"/>
    <s v="North America"/>
    <x v="31"/>
    <x v="1"/>
  </r>
  <r>
    <n v="15501"/>
    <s v="M"/>
    <s v="M"/>
    <n v="70000"/>
    <n v="4"/>
    <s v="Graduate Degree"/>
    <x v="2"/>
    <x v="0"/>
    <x v="0"/>
    <s v="2-5 Miles"/>
    <s v="North America"/>
    <x v="4"/>
    <x v="1"/>
  </r>
  <r>
    <n v="13911"/>
    <s v="S"/>
    <s v="F"/>
    <n v="80000"/>
    <n v="3"/>
    <s v="Bachelors"/>
    <x v="0"/>
    <x v="0"/>
    <x v="2"/>
    <s v="2-5 Miles"/>
    <s v="North America"/>
    <x v="3"/>
    <x v="1"/>
  </r>
  <r>
    <n v="20421"/>
    <s v="S"/>
    <s v="F"/>
    <n v="40000"/>
    <n v="0"/>
    <s v="Partial High School"/>
    <x v="1"/>
    <x v="0"/>
    <x v="2"/>
    <s v="5-10 Miles"/>
    <s v="North America"/>
    <x v="22"/>
    <x v="0"/>
  </r>
  <r>
    <n v="16009"/>
    <s v="S"/>
    <s v="M"/>
    <n v="170000"/>
    <n v="1"/>
    <s v="Graduate Degree"/>
    <x v="4"/>
    <x v="1"/>
    <x v="3"/>
    <s v="0-1 Miles"/>
    <s v="North America"/>
    <x v="29"/>
    <x v="0"/>
  </r>
  <r>
    <n v="18411"/>
    <s v="M"/>
    <s v="M"/>
    <n v="60000"/>
    <n v="2"/>
    <s v="High School"/>
    <x v="2"/>
    <x v="1"/>
    <x v="2"/>
    <s v="5-10 Miles"/>
    <s v="North America"/>
    <x v="36"/>
    <x v="0"/>
  </r>
  <r>
    <n v="19163"/>
    <s v="M"/>
    <s v="F"/>
    <n v="70000"/>
    <n v="4"/>
    <s v="Bachelors"/>
    <x v="2"/>
    <x v="0"/>
    <x v="2"/>
    <s v="0-1 Miles"/>
    <s v="North America"/>
    <x v="1"/>
    <x v="1"/>
  </r>
  <r>
    <n v="18572"/>
    <s v="M"/>
    <s v="F"/>
    <n v="60000"/>
    <n v="0"/>
    <s v="Graduate Degree"/>
    <x v="2"/>
    <x v="0"/>
    <x v="0"/>
    <s v="0-1 Miles"/>
    <s v="North America"/>
    <x v="32"/>
    <x v="0"/>
  </r>
  <r>
    <n v="27540"/>
    <s v="S"/>
    <s v="F"/>
    <n v="70000"/>
    <n v="0"/>
    <s v="Bachelors"/>
    <x v="2"/>
    <x v="1"/>
    <x v="1"/>
    <s v="0-1 Miles"/>
    <s v="North America"/>
    <x v="34"/>
    <x v="1"/>
  </r>
  <r>
    <n v="19889"/>
    <s v="S"/>
    <s v="F"/>
    <n v="70000"/>
    <n v="2"/>
    <s v="Partial High School"/>
    <x v="0"/>
    <x v="1"/>
    <x v="2"/>
    <s v="2-5 Miles"/>
    <s v="North America"/>
    <x v="9"/>
    <x v="1"/>
  </r>
  <r>
    <n v="12922"/>
    <s v="S"/>
    <s v="F"/>
    <n v="60000"/>
    <n v="3"/>
    <s v="Bachelors"/>
    <x v="0"/>
    <x v="0"/>
    <x v="0"/>
    <s v="2-5 Miles"/>
    <s v="North America"/>
    <x v="8"/>
    <x v="1"/>
  </r>
  <r>
    <n v="18891"/>
    <s v="M"/>
    <s v="F"/>
    <n v="40000"/>
    <n v="0"/>
    <s v="Partial College"/>
    <x v="0"/>
    <x v="0"/>
    <x v="2"/>
    <s v="5-10 Miles"/>
    <s v="North America"/>
    <x v="26"/>
    <x v="0"/>
  </r>
  <r>
    <n v="16773"/>
    <s v="M"/>
    <s v="M"/>
    <n v="60000"/>
    <n v="1"/>
    <s v="Graduate Degree"/>
    <x v="0"/>
    <x v="0"/>
    <x v="0"/>
    <s v="0-1 Miles"/>
    <s v="North America"/>
    <x v="6"/>
    <x v="0"/>
  </r>
  <r>
    <n v="19143"/>
    <s v="S"/>
    <s v="F"/>
    <n v="80000"/>
    <n v="3"/>
    <s v="Bachelors"/>
    <x v="0"/>
    <x v="0"/>
    <x v="2"/>
    <s v="2-5 Miles"/>
    <s v="North America"/>
    <x v="3"/>
    <x v="1"/>
  </r>
  <r>
    <n v="23882"/>
    <s v="S"/>
    <s v="F"/>
    <n v="80000"/>
    <n v="3"/>
    <s v="Graduate Degree"/>
    <x v="2"/>
    <x v="0"/>
    <x v="0"/>
    <s v="0-1 Miles"/>
    <s v="North America"/>
    <x v="34"/>
    <x v="1"/>
  </r>
  <r>
    <n v="11233"/>
    <s v="M"/>
    <s v="M"/>
    <n v="70000"/>
    <n v="4"/>
    <s v="Partial College"/>
    <x v="2"/>
    <x v="0"/>
    <x v="2"/>
    <s v="10+ Miles"/>
    <s v="North America"/>
    <x v="39"/>
    <x v="0"/>
  </r>
  <r>
    <n v="12056"/>
    <s v="M"/>
    <s v="M"/>
    <n v="120000"/>
    <n v="2"/>
    <s v="Graduate Degree"/>
    <x v="4"/>
    <x v="0"/>
    <x v="4"/>
    <s v="5-10 Miles"/>
    <s v="North America"/>
    <x v="46"/>
    <x v="0"/>
  </r>
  <r>
    <n v="15555"/>
    <s v="M"/>
    <s v="F"/>
    <n v="60000"/>
    <n v="1"/>
    <s v="Partial College"/>
    <x v="0"/>
    <x v="0"/>
    <x v="1"/>
    <s v="2-5 Miles"/>
    <s v="North America"/>
    <x v="12"/>
    <x v="1"/>
  </r>
  <r>
    <n v="18423"/>
    <s v="S"/>
    <s v="M"/>
    <n v="80000"/>
    <n v="2"/>
    <s v="Partial High School"/>
    <x v="0"/>
    <x v="1"/>
    <x v="2"/>
    <s v="1-2 Miles"/>
    <s v="North America"/>
    <x v="31"/>
    <x v="0"/>
  </r>
  <r>
    <n v="22743"/>
    <s v="M"/>
    <s v="F"/>
    <n v="40000"/>
    <n v="5"/>
    <s v="High School"/>
    <x v="2"/>
    <x v="0"/>
    <x v="2"/>
    <s v="10+ Miles"/>
    <s v="North America"/>
    <x v="2"/>
    <x v="0"/>
  </r>
  <r>
    <n v="25343"/>
    <s v="S"/>
    <s v="F"/>
    <n v="20000"/>
    <n v="3"/>
    <s v="Partial High School"/>
    <x v="1"/>
    <x v="0"/>
    <x v="2"/>
    <s v="1-2 Miles"/>
    <s v="North America"/>
    <x v="5"/>
    <x v="0"/>
  </r>
  <r>
    <n v="13390"/>
    <s v="M"/>
    <s v="F"/>
    <n v="70000"/>
    <n v="4"/>
    <s v="Partial College"/>
    <x v="2"/>
    <x v="1"/>
    <x v="1"/>
    <s v="1-2 Miles"/>
    <s v="North America"/>
    <x v="16"/>
    <x v="0"/>
  </r>
  <r>
    <n v="17482"/>
    <s v="S"/>
    <s v="F"/>
    <n v="40000"/>
    <n v="0"/>
    <s v="Partial High School"/>
    <x v="1"/>
    <x v="0"/>
    <x v="2"/>
    <s v="5-10 Miles"/>
    <s v="North America"/>
    <x v="19"/>
    <x v="0"/>
  </r>
  <r>
    <n v="13176"/>
    <s v="S"/>
    <s v="M"/>
    <n v="130000"/>
    <n v="0"/>
    <s v="Graduate Degree"/>
    <x v="4"/>
    <x v="1"/>
    <x v="2"/>
    <s v="0-1 Miles"/>
    <s v="North America"/>
    <x v="13"/>
    <x v="1"/>
  </r>
  <r>
    <n v="20504"/>
    <s v="M"/>
    <s v="F"/>
    <n v="40000"/>
    <n v="5"/>
    <s v="High School"/>
    <x v="2"/>
    <x v="1"/>
    <x v="2"/>
    <s v="2-5 Miles"/>
    <s v="North America"/>
    <x v="2"/>
    <x v="0"/>
  </r>
  <r>
    <n v="12205"/>
    <s v="S"/>
    <s v="F"/>
    <n v="130000"/>
    <n v="2"/>
    <s v="Bachelors"/>
    <x v="4"/>
    <x v="1"/>
    <x v="3"/>
    <s v="0-1 Miles"/>
    <s v="North America"/>
    <x v="41"/>
    <x v="0"/>
  </r>
  <r>
    <n v="16751"/>
    <s v="M"/>
    <s v="M"/>
    <n v="60000"/>
    <n v="0"/>
    <s v="Partial College"/>
    <x v="0"/>
    <x v="0"/>
    <x v="1"/>
    <s v="5-10 Miles"/>
    <s v="North America"/>
    <x v="21"/>
    <x v="1"/>
  </r>
  <r>
    <n v="21613"/>
    <s v="S"/>
    <s v="M"/>
    <n v="50000"/>
    <n v="2"/>
    <s v="Bachelors"/>
    <x v="0"/>
    <x v="1"/>
    <x v="1"/>
    <s v="0-1 Miles"/>
    <s v="North America"/>
    <x v="32"/>
    <x v="1"/>
  </r>
  <r>
    <n v="24801"/>
    <s v="S"/>
    <s v="M"/>
    <n v="60000"/>
    <n v="1"/>
    <s v="Graduate Degree"/>
    <x v="2"/>
    <x v="0"/>
    <x v="0"/>
    <s v="2-5 Miles"/>
    <s v="North America"/>
    <x v="11"/>
    <x v="1"/>
  </r>
  <r>
    <n v="17519"/>
    <s v="M"/>
    <s v="F"/>
    <n v="60000"/>
    <n v="0"/>
    <s v="Partial College"/>
    <x v="2"/>
    <x v="0"/>
    <x v="2"/>
    <s v="5-10 Miles"/>
    <s v="North America"/>
    <x v="21"/>
    <x v="0"/>
  </r>
  <r>
    <n v="18347"/>
    <s v="S"/>
    <s v="F"/>
    <n v="30000"/>
    <n v="0"/>
    <s v="Partial College"/>
    <x v="0"/>
    <x v="1"/>
    <x v="1"/>
    <s v="1-2 Miles"/>
    <s v="North America"/>
    <x v="23"/>
    <x v="0"/>
  </r>
  <r>
    <n v="29052"/>
    <s v="S"/>
    <s v="M"/>
    <n v="40000"/>
    <n v="0"/>
    <s v="Partial College"/>
    <x v="0"/>
    <x v="0"/>
    <x v="1"/>
    <s v="5-10 Miles"/>
    <s v="North America"/>
    <x v="40"/>
    <x v="0"/>
  </r>
  <r>
    <n v="11745"/>
    <s v="M"/>
    <s v="F"/>
    <n v="60000"/>
    <n v="1"/>
    <s v="Bachelors"/>
    <x v="2"/>
    <x v="0"/>
    <x v="1"/>
    <s v="0-1 Miles"/>
    <s v="North America"/>
    <x v="15"/>
    <x v="1"/>
  </r>
  <r>
    <n v="19147"/>
    <s v="M"/>
    <s v="M"/>
    <n v="40000"/>
    <n v="0"/>
    <s v="Bachelors"/>
    <x v="2"/>
    <x v="1"/>
    <x v="1"/>
    <s v="0-1 Miles"/>
    <s v="North America"/>
    <x v="0"/>
    <x v="0"/>
  </r>
  <r>
    <n v="19217"/>
    <s v="M"/>
    <s v="M"/>
    <n v="30000"/>
    <n v="2"/>
    <s v="High School"/>
    <x v="0"/>
    <x v="0"/>
    <x v="2"/>
    <s v="1-2 Miles"/>
    <s v="North America"/>
    <x v="38"/>
    <x v="0"/>
  </r>
  <r>
    <n v="15839"/>
    <s v="S"/>
    <s v="M"/>
    <n v="30000"/>
    <n v="0"/>
    <s v="Partial College"/>
    <x v="0"/>
    <x v="0"/>
    <x v="1"/>
    <s v="5-10 Miles"/>
    <s v="North America"/>
    <x v="21"/>
    <x v="0"/>
  </r>
  <r>
    <n v="13714"/>
    <s v="M"/>
    <s v="F"/>
    <n v="20000"/>
    <n v="2"/>
    <s v="High School"/>
    <x v="3"/>
    <x v="1"/>
    <x v="2"/>
    <s v="1-2 Miles"/>
    <s v="North America"/>
    <x v="39"/>
    <x v="1"/>
  </r>
  <r>
    <n v="22330"/>
    <s v="M"/>
    <s v="M"/>
    <n v="50000"/>
    <n v="0"/>
    <s v="Graduate Degree"/>
    <x v="0"/>
    <x v="0"/>
    <x v="0"/>
    <s v="1-2 Miles"/>
    <s v="North America"/>
    <x v="21"/>
    <x v="1"/>
  </r>
  <r>
    <n v="18783"/>
    <s v="S"/>
    <s v="M"/>
    <n v="80000"/>
    <n v="0"/>
    <s v="Bachelors"/>
    <x v="4"/>
    <x v="1"/>
    <x v="1"/>
    <s v="0-1 Miles"/>
    <s v="North America"/>
    <x v="13"/>
    <x v="1"/>
  </r>
  <r>
    <n v="25041"/>
    <s v="S"/>
    <s v="M"/>
    <n v="40000"/>
    <n v="0"/>
    <s v="High School"/>
    <x v="0"/>
    <x v="0"/>
    <x v="2"/>
    <s v="5-10 Miles"/>
    <s v="North America"/>
    <x v="23"/>
    <x v="0"/>
  </r>
  <r>
    <n v="22046"/>
    <s v="S"/>
    <s v="F"/>
    <n v="80000"/>
    <n v="0"/>
    <s v="Bachelors"/>
    <x v="4"/>
    <x v="1"/>
    <x v="1"/>
    <s v="0-1 Miles"/>
    <s v="North America"/>
    <x v="13"/>
    <x v="1"/>
  </r>
  <r>
    <n v="28052"/>
    <s v="M"/>
    <s v="M"/>
    <n v="60000"/>
    <n v="2"/>
    <s v="High School"/>
    <x v="2"/>
    <x v="0"/>
    <x v="2"/>
    <s v="10+ Miles"/>
    <s v="North America"/>
    <x v="10"/>
    <x v="0"/>
  </r>
  <r>
    <n v="26693"/>
    <s v="M"/>
    <s v="M"/>
    <n v="70000"/>
    <n v="3"/>
    <s v="Partial College"/>
    <x v="2"/>
    <x v="0"/>
    <x v="1"/>
    <s v="5-10 Miles"/>
    <s v="North America"/>
    <x v="38"/>
    <x v="0"/>
  </r>
  <r>
    <n v="24955"/>
    <s v="S"/>
    <s v="M"/>
    <n v="30000"/>
    <n v="5"/>
    <s v="Partial High School"/>
    <x v="0"/>
    <x v="0"/>
    <x v="4"/>
    <s v="10+ Miles"/>
    <s v="North America"/>
    <x v="2"/>
    <x v="1"/>
  </r>
  <r>
    <n v="26065"/>
    <s v="S"/>
    <s v="F"/>
    <n v="110000"/>
    <n v="3"/>
    <s v="Bachelors"/>
    <x v="4"/>
    <x v="1"/>
    <x v="3"/>
    <s v="1-2 Miles"/>
    <s v="North America"/>
    <x v="0"/>
    <x v="0"/>
  </r>
  <r>
    <n v="13942"/>
    <s v="M"/>
    <s v="M"/>
    <n v="60000"/>
    <n v="1"/>
    <s v="Partial College"/>
    <x v="0"/>
    <x v="0"/>
    <x v="1"/>
    <s v="0-1 Miles"/>
    <s v="North America"/>
    <x v="30"/>
    <x v="0"/>
  </r>
  <r>
    <n v="11219"/>
    <s v="M"/>
    <s v="M"/>
    <n v="60000"/>
    <n v="2"/>
    <s v="High School"/>
    <x v="2"/>
    <x v="0"/>
    <x v="2"/>
    <s v="10+ Miles"/>
    <s v="North America"/>
    <x v="10"/>
    <x v="0"/>
  </r>
  <r>
    <n v="22118"/>
    <s v="S"/>
    <s v="F"/>
    <n v="70000"/>
    <n v="3"/>
    <s v="Graduate Degree"/>
    <x v="4"/>
    <x v="0"/>
    <x v="2"/>
    <s v="5-10 Miles"/>
    <s v="North America"/>
    <x v="39"/>
    <x v="1"/>
  </r>
  <r>
    <n v="23197"/>
    <s v="M"/>
    <s v="M"/>
    <n v="50000"/>
    <n v="3"/>
    <s v="Bachelors"/>
    <x v="0"/>
    <x v="0"/>
    <x v="2"/>
    <s v="2-5 Miles"/>
    <s v="North America"/>
    <x v="8"/>
    <x v="0"/>
  </r>
  <r>
    <n v="14883"/>
    <s v="M"/>
    <s v="F"/>
    <n v="30000"/>
    <n v="1"/>
    <s v="Bachelors"/>
    <x v="0"/>
    <x v="0"/>
    <x v="1"/>
    <s v="5-10 Miles"/>
    <s v="North America"/>
    <x v="39"/>
    <x v="1"/>
  </r>
  <r>
    <n v="27279"/>
    <s v="S"/>
    <s v="F"/>
    <n v="70000"/>
    <n v="2"/>
    <s v="Bachelors"/>
    <x v="0"/>
    <x v="0"/>
    <x v="0"/>
    <s v="2-5 Miles"/>
    <s v="North America"/>
    <x v="13"/>
    <x v="1"/>
  </r>
  <r>
    <n v="18322"/>
    <s v="S"/>
    <s v="M"/>
    <n v="30000"/>
    <n v="0"/>
    <s v="Partial High School"/>
    <x v="1"/>
    <x v="1"/>
    <x v="2"/>
    <s v="0-1 Miles"/>
    <s v="North America"/>
    <x v="22"/>
    <x v="0"/>
  </r>
  <r>
    <n v="15879"/>
    <s v="M"/>
    <s v="M"/>
    <n v="70000"/>
    <n v="5"/>
    <s v="Bachelors"/>
    <x v="4"/>
    <x v="0"/>
    <x v="2"/>
    <s v="2-5 Miles"/>
    <s v="North America"/>
    <x v="33"/>
    <x v="0"/>
  </r>
  <r>
    <n v="28278"/>
    <s v="M"/>
    <s v="M"/>
    <n v="50000"/>
    <n v="2"/>
    <s v="Graduate Degree"/>
    <x v="4"/>
    <x v="0"/>
    <x v="2"/>
    <s v="5-10 Miles"/>
    <s v="North America"/>
    <x v="51"/>
    <x v="0"/>
  </r>
  <r>
    <n v="24416"/>
    <s v="M"/>
    <s v="M"/>
    <n v="90000"/>
    <n v="4"/>
    <s v="High School"/>
    <x v="2"/>
    <x v="0"/>
    <x v="2"/>
    <s v="1-2 Miles"/>
    <s v="North America"/>
    <x v="12"/>
    <x v="0"/>
  </r>
  <r>
    <n v="28066"/>
    <s v="M"/>
    <s v="M"/>
    <n v="80000"/>
    <n v="2"/>
    <s v="Graduate Degree"/>
    <x v="2"/>
    <x v="0"/>
    <x v="0"/>
    <s v="0-1 Miles"/>
    <s v="North America"/>
    <x v="34"/>
    <x v="1"/>
  </r>
  <r>
    <n v="11275"/>
    <s v="M"/>
    <s v="F"/>
    <n v="80000"/>
    <n v="4"/>
    <s v="Graduate Degree"/>
    <x v="4"/>
    <x v="0"/>
    <x v="2"/>
    <s v="0-1 Miles"/>
    <s v="North America"/>
    <x v="52"/>
    <x v="1"/>
  </r>
  <r>
    <n v="14872"/>
    <s v="M"/>
    <s v="M"/>
    <n v="30000"/>
    <n v="0"/>
    <s v="Graduate Degree"/>
    <x v="0"/>
    <x v="0"/>
    <x v="0"/>
    <s v="0-1 Miles"/>
    <s v="North America"/>
    <x v="21"/>
    <x v="0"/>
  </r>
  <r>
    <n v="16151"/>
    <s v="M"/>
    <s v="F"/>
    <n v="60000"/>
    <n v="1"/>
    <s v="Bachelors"/>
    <x v="2"/>
    <x v="0"/>
    <x v="1"/>
    <s v="2-5 Miles"/>
    <s v="North America"/>
    <x v="28"/>
    <x v="1"/>
  </r>
  <r>
    <n v="19731"/>
    <s v="M"/>
    <s v="M"/>
    <n v="80000"/>
    <n v="4"/>
    <s v="Graduate Degree"/>
    <x v="4"/>
    <x v="0"/>
    <x v="2"/>
    <s v="5-10 Miles"/>
    <s v="North America"/>
    <x v="35"/>
    <x v="0"/>
  </r>
  <r>
    <n v="23801"/>
    <s v="M"/>
    <s v="F"/>
    <n v="20000"/>
    <n v="2"/>
    <s v="Partial High School"/>
    <x v="1"/>
    <x v="0"/>
    <x v="2"/>
    <s v="0-1 Miles"/>
    <s v="North America"/>
    <x v="38"/>
    <x v="0"/>
  </r>
  <r>
    <n v="11807"/>
    <s v="M"/>
    <s v="M"/>
    <n v="70000"/>
    <n v="3"/>
    <s v="Graduate Degree"/>
    <x v="2"/>
    <x v="0"/>
    <x v="0"/>
    <s v="2-5 Miles"/>
    <s v="North America"/>
    <x v="17"/>
    <x v="0"/>
  </r>
  <r>
    <n v="11622"/>
    <s v="M"/>
    <s v="M"/>
    <n v="50000"/>
    <n v="0"/>
    <s v="Graduate Degree"/>
    <x v="0"/>
    <x v="0"/>
    <x v="0"/>
    <s v="0-1 Miles"/>
    <s v="North America"/>
    <x v="21"/>
    <x v="0"/>
  </r>
  <r>
    <n v="26597"/>
    <s v="S"/>
    <s v="F"/>
    <n v="60000"/>
    <n v="4"/>
    <s v="Bachelors"/>
    <x v="0"/>
    <x v="1"/>
    <x v="2"/>
    <s v="0-1 Miles"/>
    <s v="North America"/>
    <x v="0"/>
    <x v="0"/>
  </r>
  <r>
    <n v="27074"/>
    <s v="M"/>
    <s v="F"/>
    <n v="70000"/>
    <n v="1"/>
    <s v="Graduate Degree"/>
    <x v="0"/>
    <x v="0"/>
    <x v="0"/>
    <s v="0-1 Miles"/>
    <s v="North America"/>
    <x v="11"/>
    <x v="1"/>
  </r>
  <r>
    <n v="19228"/>
    <s v="M"/>
    <s v="F"/>
    <n v="40000"/>
    <n v="2"/>
    <s v="Partial College"/>
    <x v="1"/>
    <x v="0"/>
    <x v="1"/>
    <s v="0-1 Miles"/>
    <s v="North America"/>
    <x v="28"/>
    <x v="0"/>
  </r>
  <r>
    <n v="13415"/>
    <s v="S"/>
    <s v="M"/>
    <n v="100000"/>
    <n v="1"/>
    <s v="Graduate Degree"/>
    <x v="4"/>
    <x v="0"/>
    <x v="4"/>
    <s v="2-5 Miles"/>
    <s v="North America"/>
    <x v="49"/>
    <x v="1"/>
  </r>
  <r>
    <n v="17000"/>
    <s v="S"/>
    <s v="F"/>
    <n v="70000"/>
    <n v="4"/>
    <s v="Bachelors"/>
    <x v="0"/>
    <x v="0"/>
    <x v="2"/>
    <s v="2-5 Miles"/>
    <s v="North America"/>
    <x v="1"/>
    <x v="1"/>
  </r>
  <r>
    <n v="14569"/>
    <s v="M"/>
    <s v="M"/>
    <n v="60000"/>
    <n v="1"/>
    <s v="Graduate Degree"/>
    <x v="2"/>
    <x v="0"/>
    <x v="0"/>
    <s v="0-1 Miles"/>
    <s v="North America"/>
    <x v="11"/>
    <x v="0"/>
  </r>
  <r>
    <n v="13873"/>
    <s v="M"/>
    <s v="M"/>
    <n v="70000"/>
    <n v="3"/>
    <s v="Graduate Degree"/>
    <x v="2"/>
    <x v="0"/>
    <x v="0"/>
    <s v="0-1 Miles"/>
    <s v="North America"/>
    <x v="11"/>
    <x v="1"/>
  </r>
  <r>
    <n v="20401"/>
    <s v="M"/>
    <s v="F"/>
    <n v="50000"/>
    <n v="4"/>
    <s v="Bachelors"/>
    <x v="4"/>
    <x v="0"/>
    <x v="2"/>
    <s v="1-2 Miles"/>
    <s v="North America"/>
    <x v="46"/>
    <x v="1"/>
  </r>
  <r>
    <n v="21583"/>
    <s v="M"/>
    <s v="F"/>
    <n v="50000"/>
    <n v="1"/>
    <s v="Bachelors"/>
    <x v="0"/>
    <x v="0"/>
    <x v="0"/>
    <s v="0-1 Miles"/>
    <s v="North America"/>
    <x v="17"/>
    <x v="1"/>
  </r>
  <r>
    <n v="12029"/>
    <s v="M"/>
    <s v="M"/>
    <n v="30000"/>
    <n v="0"/>
    <s v="Partial High School"/>
    <x v="1"/>
    <x v="1"/>
    <x v="2"/>
    <s v="0-1 Miles"/>
    <s v="North America"/>
    <x v="26"/>
    <x v="0"/>
  </r>
  <r>
    <n v="18066"/>
    <s v="S"/>
    <s v="M"/>
    <n v="70000"/>
    <n v="5"/>
    <s v="Bachelors"/>
    <x v="4"/>
    <x v="0"/>
    <x v="4"/>
    <s v="10+ Miles"/>
    <s v="North America"/>
    <x v="2"/>
    <x v="1"/>
  </r>
  <r>
    <n v="28192"/>
    <s v="M"/>
    <s v="F"/>
    <n v="70000"/>
    <n v="5"/>
    <s v="Graduate Degree"/>
    <x v="2"/>
    <x v="0"/>
    <x v="4"/>
    <s v="10+ Miles"/>
    <s v="North America"/>
    <x v="30"/>
    <x v="0"/>
  </r>
  <r>
    <n v="16122"/>
    <s v="M"/>
    <s v="M"/>
    <n v="40000"/>
    <n v="4"/>
    <s v="High School"/>
    <x v="0"/>
    <x v="0"/>
    <x v="2"/>
    <s v="0-1 Miles"/>
    <s v="North America"/>
    <x v="20"/>
    <x v="1"/>
  </r>
  <r>
    <n v="18607"/>
    <s v="S"/>
    <s v="F"/>
    <n v="60000"/>
    <n v="4"/>
    <s v="Bachelors"/>
    <x v="0"/>
    <x v="0"/>
    <x v="2"/>
    <s v="2-5 Miles"/>
    <s v="North America"/>
    <x v="0"/>
    <x v="1"/>
  </r>
  <r>
    <n v="28858"/>
    <s v="S"/>
    <s v="M"/>
    <n v="80000"/>
    <n v="3"/>
    <s v="Bachelors"/>
    <x v="0"/>
    <x v="0"/>
    <x v="0"/>
    <s v="2-5 Miles"/>
    <s v="North America"/>
    <x v="8"/>
    <x v="0"/>
  </r>
  <r>
    <n v="14432"/>
    <s v="S"/>
    <s v="M"/>
    <n v="90000"/>
    <n v="4"/>
    <s v="Graduate Degree"/>
    <x v="4"/>
    <x v="0"/>
    <x v="1"/>
    <s v="5-10 Miles"/>
    <s v="North America"/>
    <x v="49"/>
    <x v="0"/>
  </r>
  <r>
    <n v="26305"/>
    <s v="S"/>
    <s v="F"/>
    <n v="60000"/>
    <n v="2"/>
    <s v="Bachelors"/>
    <x v="0"/>
    <x v="1"/>
    <x v="0"/>
    <s v="0-1 Miles"/>
    <s v="North America"/>
    <x v="4"/>
    <x v="1"/>
  </r>
  <r>
    <n v="22050"/>
    <s v="S"/>
    <s v="M"/>
    <n v="90000"/>
    <n v="4"/>
    <s v="Bachelors"/>
    <x v="4"/>
    <x v="0"/>
    <x v="1"/>
    <s v="1-2 Miles"/>
    <s v="North America"/>
    <x v="13"/>
    <x v="1"/>
  </r>
  <r>
    <n v="25394"/>
    <s v="M"/>
    <s v="M"/>
    <n v="60000"/>
    <n v="1"/>
    <s v="Graduate Degree"/>
    <x v="2"/>
    <x v="0"/>
    <x v="0"/>
    <s v="2-5 Miles"/>
    <s v="North America"/>
    <x v="17"/>
    <x v="1"/>
  </r>
  <r>
    <n v="19747"/>
    <s v="M"/>
    <s v="M"/>
    <n v="50000"/>
    <n v="4"/>
    <s v="Bachelors"/>
    <x v="4"/>
    <x v="0"/>
    <x v="2"/>
    <s v="10+ Miles"/>
    <s v="North America"/>
    <x v="18"/>
    <x v="0"/>
  </r>
  <r>
    <n v="23195"/>
    <s v="S"/>
    <s v="M"/>
    <n v="50000"/>
    <n v="3"/>
    <s v="Bachelors"/>
    <x v="0"/>
    <x v="0"/>
    <x v="2"/>
    <s v="2-5 Miles"/>
    <s v="North America"/>
    <x v="3"/>
    <x v="1"/>
  </r>
  <r>
    <n v="21695"/>
    <s v="M"/>
    <s v="M"/>
    <n v="60000"/>
    <n v="0"/>
    <s v="Graduate Degree"/>
    <x v="0"/>
    <x v="0"/>
    <x v="0"/>
    <s v="1-2 Miles"/>
    <s v="North America"/>
    <x v="32"/>
    <x v="1"/>
  </r>
  <r>
    <n v="13934"/>
    <s v="M"/>
    <s v="M"/>
    <n v="40000"/>
    <n v="4"/>
    <s v="High School"/>
    <x v="0"/>
    <x v="0"/>
    <x v="2"/>
    <s v="2-5 Miles"/>
    <s v="North America"/>
    <x v="30"/>
    <x v="0"/>
  </r>
  <r>
    <n v="13337"/>
    <s v="M"/>
    <s v="F"/>
    <n v="80000"/>
    <n v="5"/>
    <s v="Bachelors"/>
    <x v="4"/>
    <x v="0"/>
    <x v="2"/>
    <s v="5-10 Miles"/>
    <s v="North America"/>
    <x v="46"/>
    <x v="0"/>
  </r>
  <r>
    <n v="27190"/>
    <s v="M"/>
    <s v="F"/>
    <n v="40000"/>
    <n v="3"/>
    <s v="Partial College"/>
    <x v="1"/>
    <x v="0"/>
    <x v="1"/>
    <s v="1-2 Miles"/>
    <s v="North America"/>
    <x v="21"/>
    <x v="0"/>
  </r>
  <r>
    <n v="28657"/>
    <s v="S"/>
    <s v="M"/>
    <n v="60000"/>
    <n v="2"/>
    <s v="Bachelors"/>
    <x v="0"/>
    <x v="0"/>
    <x v="0"/>
    <s v="2-5 Miles"/>
    <s v="North America"/>
    <x v="4"/>
    <x v="1"/>
  </r>
  <r>
    <n v="21713"/>
    <s v="S"/>
    <s v="M"/>
    <n v="80000"/>
    <n v="5"/>
    <s v="Graduate Degree"/>
    <x v="0"/>
    <x v="1"/>
    <x v="0"/>
    <s v="0-1 Miles"/>
    <s v="North America"/>
    <x v="15"/>
    <x v="0"/>
  </r>
  <r>
    <n v="21752"/>
    <s v="M"/>
    <s v="M"/>
    <n v="60000"/>
    <n v="3"/>
    <s v="Graduate Degree"/>
    <x v="4"/>
    <x v="0"/>
    <x v="2"/>
    <s v="10+ Miles"/>
    <s v="North America"/>
    <x v="46"/>
    <x v="0"/>
  </r>
  <r>
    <n v="27273"/>
    <s v="S"/>
    <s v="M"/>
    <n v="70000"/>
    <n v="3"/>
    <s v="Graduate Degree"/>
    <x v="2"/>
    <x v="1"/>
    <x v="0"/>
    <s v="0-1 Miles"/>
    <s v="North America"/>
    <x v="11"/>
    <x v="1"/>
  </r>
  <r>
    <n v="22719"/>
    <s v="S"/>
    <s v="M"/>
    <n v="110000"/>
    <n v="3"/>
    <s v="Bachelors"/>
    <x v="4"/>
    <x v="0"/>
    <x v="3"/>
    <s v="2-5 Miles"/>
    <s v="North America"/>
    <x v="8"/>
    <x v="1"/>
  </r>
  <r>
    <n v="22042"/>
    <s v="M"/>
    <s v="F"/>
    <n v="70000"/>
    <n v="0"/>
    <s v="Partial College"/>
    <x v="0"/>
    <x v="0"/>
    <x v="2"/>
    <s v="5-10 Miles"/>
    <s v="North America"/>
    <x v="17"/>
    <x v="1"/>
  </r>
  <r>
    <n v="21451"/>
    <s v="M"/>
    <s v="F"/>
    <n v="40000"/>
    <n v="4"/>
    <s v="High School"/>
    <x v="2"/>
    <x v="0"/>
    <x v="2"/>
    <s v="10+ Miles"/>
    <s v="North America"/>
    <x v="33"/>
    <x v="0"/>
  </r>
  <r>
    <n v="20754"/>
    <s v="M"/>
    <s v="M"/>
    <n v="30000"/>
    <n v="2"/>
    <s v="High School"/>
    <x v="0"/>
    <x v="0"/>
    <x v="2"/>
    <s v="1-2 Miles"/>
    <s v="North America"/>
    <x v="36"/>
    <x v="0"/>
  </r>
  <r>
    <n v="12153"/>
    <s v="S"/>
    <s v="F"/>
    <n v="70000"/>
    <n v="3"/>
    <s v="Partial College"/>
    <x v="2"/>
    <x v="0"/>
    <x v="1"/>
    <s v="5-10 Miles"/>
    <s v="North America"/>
    <x v="38"/>
    <x v="1"/>
  </r>
  <r>
    <n v="16895"/>
    <s v="M"/>
    <s v="F"/>
    <n v="40000"/>
    <n v="3"/>
    <s v="Partial College"/>
    <x v="2"/>
    <x v="1"/>
    <x v="2"/>
    <s v="1-2 Miles"/>
    <s v="North America"/>
    <x v="9"/>
    <x v="1"/>
  </r>
  <r>
    <n v="26728"/>
    <s v="S"/>
    <s v="M"/>
    <n v="70000"/>
    <n v="3"/>
    <s v="Graduate Degree"/>
    <x v="4"/>
    <x v="1"/>
    <x v="2"/>
    <s v="1-2 Miles"/>
    <s v="North America"/>
    <x v="39"/>
    <x v="1"/>
  </r>
  <r>
    <n v="11090"/>
    <s v="S"/>
    <s v="M"/>
    <n v="90000"/>
    <n v="2"/>
    <s v="Partial College"/>
    <x v="2"/>
    <x v="0"/>
    <x v="1"/>
    <s v="2-5 Miles"/>
    <s v="North America"/>
    <x v="28"/>
    <x v="1"/>
  </r>
  <r>
    <n v="15862"/>
    <s v="S"/>
    <s v="F"/>
    <n v="50000"/>
    <n v="0"/>
    <s v="Graduate Degree"/>
    <x v="0"/>
    <x v="0"/>
    <x v="0"/>
    <s v="1-2 Miles"/>
    <s v="North America"/>
    <x v="6"/>
    <x v="1"/>
  </r>
  <r>
    <n v="26495"/>
    <s v="S"/>
    <s v="F"/>
    <n v="40000"/>
    <n v="2"/>
    <s v="High School"/>
    <x v="2"/>
    <x v="0"/>
    <x v="2"/>
    <s v="10+ Miles"/>
    <s v="North America"/>
    <x v="42"/>
    <x v="0"/>
  </r>
  <r>
    <n v="11823"/>
    <s v="M"/>
    <s v="F"/>
    <n v="70000"/>
    <n v="0"/>
    <s v="Graduate Degree"/>
    <x v="2"/>
    <x v="0"/>
    <x v="0"/>
    <s v="2-5 Miles"/>
    <s v="North America"/>
    <x v="32"/>
    <x v="0"/>
  </r>
  <r>
    <n v="23449"/>
    <s v="M"/>
    <s v="M"/>
    <n v="60000"/>
    <n v="2"/>
    <s v="High School"/>
    <x v="2"/>
    <x v="0"/>
    <x v="2"/>
    <s v="5-10 Miles"/>
    <s v="North America"/>
    <x v="28"/>
    <x v="0"/>
  </r>
  <r>
    <n v="23459"/>
    <s v="M"/>
    <s v="M"/>
    <n v="60000"/>
    <n v="2"/>
    <s v="High School"/>
    <x v="2"/>
    <x v="0"/>
    <x v="2"/>
    <s v="5-10 Miles"/>
    <s v="North America"/>
    <x v="5"/>
    <x v="0"/>
  </r>
  <r>
    <n v="19543"/>
    <s v="M"/>
    <s v="M"/>
    <n v="70000"/>
    <n v="5"/>
    <s v="Graduate Degree"/>
    <x v="2"/>
    <x v="1"/>
    <x v="4"/>
    <s v="10+ Miles"/>
    <s v="North America"/>
    <x v="15"/>
    <x v="0"/>
  </r>
  <r>
    <n v="14914"/>
    <s v="M"/>
    <s v="F"/>
    <n v="40000"/>
    <n v="1"/>
    <s v="Partial College"/>
    <x v="1"/>
    <x v="0"/>
    <x v="1"/>
    <s v="1-2 Miles"/>
    <s v="North America"/>
    <x v="38"/>
    <x v="1"/>
  </r>
  <r>
    <n v="12033"/>
    <s v="S"/>
    <s v="F"/>
    <n v="40000"/>
    <n v="0"/>
    <s v="High School"/>
    <x v="0"/>
    <x v="1"/>
    <x v="2"/>
    <s v="0-1 Miles"/>
    <s v="North America"/>
    <x v="40"/>
    <x v="1"/>
  </r>
  <r>
    <n v="11941"/>
    <s v="S"/>
    <s v="M"/>
    <n v="60000"/>
    <n v="0"/>
    <s v="Partial College"/>
    <x v="0"/>
    <x v="0"/>
    <x v="0"/>
    <s v="5-10 Miles"/>
    <s v="North America"/>
    <x v="19"/>
    <x v="0"/>
  </r>
  <r>
    <n v="14389"/>
    <s v="M"/>
    <s v="M"/>
    <n v="60000"/>
    <n v="2"/>
    <s v="Bachelors"/>
    <x v="4"/>
    <x v="0"/>
    <x v="0"/>
    <s v="2-5 Miles"/>
    <s v="North America"/>
    <x v="14"/>
    <x v="0"/>
  </r>
  <r>
    <n v="18050"/>
    <s v="M"/>
    <s v="F"/>
    <n v="60000"/>
    <n v="1"/>
    <s v="Partial College"/>
    <x v="0"/>
    <x v="0"/>
    <x v="1"/>
    <s v="0-1 Miles"/>
    <s v="North America"/>
    <x v="12"/>
    <x v="1"/>
  </r>
  <r>
    <n v="19856"/>
    <s v="M"/>
    <s v="F"/>
    <n v="60000"/>
    <n v="4"/>
    <s v="Bachelors"/>
    <x v="4"/>
    <x v="0"/>
    <x v="2"/>
    <s v="2-5 Miles"/>
    <s v="North America"/>
    <x v="2"/>
    <x v="0"/>
  </r>
  <r>
    <n v="11663"/>
    <s v="M"/>
    <s v="M"/>
    <n v="70000"/>
    <n v="4"/>
    <s v="Graduate Degree"/>
    <x v="2"/>
    <x v="0"/>
    <x v="0"/>
    <s v="0-1 Miles"/>
    <s v="North America"/>
    <x v="4"/>
    <x v="1"/>
  </r>
  <r>
    <n v="27740"/>
    <s v="M"/>
    <s v="F"/>
    <n v="40000"/>
    <n v="0"/>
    <s v="High School"/>
    <x v="0"/>
    <x v="0"/>
    <x v="2"/>
    <s v="5-10 Miles"/>
    <s v="North America"/>
    <x v="40"/>
    <x v="0"/>
  </r>
  <r>
    <n v="23455"/>
    <s v="S"/>
    <s v="M"/>
    <n v="80000"/>
    <n v="2"/>
    <s v="Partial High School"/>
    <x v="0"/>
    <x v="1"/>
    <x v="2"/>
    <s v="1-2 Miles"/>
    <s v="North America"/>
    <x v="5"/>
    <x v="0"/>
  </r>
  <r>
    <n v="15292"/>
    <s v="S"/>
    <s v="F"/>
    <n v="60000"/>
    <n v="1"/>
    <s v="Graduate Degree"/>
    <x v="0"/>
    <x v="0"/>
    <x v="0"/>
    <s v="1-2 Miles"/>
    <s v="North America"/>
    <x v="11"/>
    <x v="0"/>
  </r>
  <r>
    <n v="21587"/>
    <s v="M"/>
    <s v="F"/>
    <n v="60000"/>
    <n v="1"/>
    <s v="Graduate Degree"/>
    <x v="0"/>
    <x v="0"/>
    <x v="0"/>
    <s v="2-5 Miles"/>
    <s v="North America"/>
    <x v="17"/>
    <x v="1"/>
  </r>
  <r>
    <n v="23513"/>
    <s v="M"/>
    <s v="F"/>
    <n v="40000"/>
    <n v="3"/>
    <s v="Partial College"/>
    <x v="2"/>
    <x v="0"/>
    <x v="2"/>
    <s v="5-10 Miles"/>
    <s v="North America"/>
    <x v="9"/>
    <x v="0"/>
  </r>
  <r>
    <n v="24322"/>
    <s v="M"/>
    <s v="F"/>
    <n v="60000"/>
    <n v="4"/>
    <s v="Bachelors"/>
    <x v="0"/>
    <x v="1"/>
    <x v="2"/>
    <s v="0-1 Miles"/>
    <s v="North America"/>
    <x v="0"/>
    <x v="0"/>
  </r>
  <r>
    <n v="26298"/>
    <s v="M"/>
    <s v="F"/>
    <n v="50000"/>
    <n v="1"/>
    <s v="Bachelors"/>
    <x v="0"/>
    <x v="0"/>
    <x v="0"/>
    <s v="2-5 Miles"/>
    <s v="North America"/>
    <x v="17"/>
    <x v="1"/>
  </r>
  <r>
    <n v="25419"/>
    <s v="S"/>
    <s v="M"/>
    <n v="50000"/>
    <n v="2"/>
    <s v="Bachelors"/>
    <x v="0"/>
    <x v="1"/>
    <x v="1"/>
    <s v="0-1 Miles"/>
    <s v="North America"/>
    <x v="13"/>
    <x v="1"/>
  </r>
  <r>
    <n v="13343"/>
    <s v="M"/>
    <s v="F"/>
    <n v="90000"/>
    <n v="5"/>
    <s v="Bachelors"/>
    <x v="4"/>
    <x v="0"/>
    <x v="2"/>
    <s v="1-2 Miles"/>
    <s v="North America"/>
    <x v="18"/>
    <x v="1"/>
  </r>
  <r>
    <n v="11303"/>
    <s v="S"/>
    <s v="F"/>
    <n v="90000"/>
    <n v="4"/>
    <s v="High School"/>
    <x v="2"/>
    <x v="1"/>
    <x v="4"/>
    <s v="1-2 Miles"/>
    <s v="North America"/>
    <x v="12"/>
    <x v="1"/>
  </r>
  <r>
    <n v="21693"/>
    <s v="S"/>
    <s v="F"/>
    <n v="60000"/>
    <n v="0"/>
    <s v="Graduate Degree"/>
    <x v="0"/>
    <x v="1"/>
    <x v="0"/>
    <s v="0-1 Miles"/>
    <s v="North America"/>
    <x v="8"/>
    <x v="0"/>
  </r>
  <r>
    <n v="28056"/>
    <s v="M"/>
    <s v="M"/>
    <n v="70000"/>
    <n v="2"/>
    <s v="Partial High School"/>
    <x v="0"/>
    <x v="0"/>
    <x v="2"/>
    <s v="10+ Miles"/>
    <s v="North America"/>
    <x v="39"/>
    <x v="0"/>
  </r>
  <r>
    <n v="11788"/>
    <s v="S"/>
    <s v="F"/>
    <n v="70000"/>
    <n v="1"/>
    <s v="Graduate Degree"/>
    <x v="2"/>
    <x v="0"/>
    <x v="0"/>
    <s v="2-5 Miles"/>
    <s v="North America"/>
    <x v="17"/>
    <x v="0"/>
  </r>
  <r>
    <n v="22296"/>
    <s v="M"/>
    <s v="M"/>
    <n v="70000"/>
    <n v="0"/>
    <s v="Bachelors"/>
    <x v="2"/>
    <x v="1"/>
    <x v="1"/>
    <s v="0-1 Miles"/>
    <s v="North America"/>
    <x v="13"/>
    <x v="0"/>
  </r>
  <r>
    <n v="15319"/>
    <s v="M"/>
    <s v="F"/>
    <n v="70000"/>
    <n v="4"/>
    <s v="Bachelors"/>
    <x v="4"/>
    <x v="1"/>
    <x v="1"/>
    <s v="1-2 Miles"/>
    <s v="North America"/>
    <x v="14"/>
    <x v="0"/>
  </r>
  <r>
    <n v="17654"/>
    <s v="S"/>
    <s v="F"/>
    <n v="40000"/>
    <n v="3"/>
    <s v="Partial College"/>
    <x v="1"/>
    <x v="0"/>
    <x v="1"/>
    <s v="1-2 Miles"/>
    <s v="North America"/>
    <x v="25"/>
    <x v="1"/>
  </r>
  <r>
    <n v="14662"/>
    <s v="M"/>
    <s v="M"/>
    <n v="60000"/>
    <n v="1"/>
    <s v="Bachelors"/>
    <x v="2"/>
    <x v="0"/>
    <x v="1"/>
    <s v="0-1 Miles"/>
    <s v="North America"/>
    <x v="28"/>
    <x v="1"/>
  </r>
  <r>
    <n v="17541"/>
    <s v="M"/>
    <s v="F"/>
    <n v="40000"/>
    <n v="4"/>
    <s v="High School"/>
    <x v="0"/>
    <x v="0"/>
    <x v="2"/>
    <s v="2-5 Miles"/>
    <s v="North America"/>
    <x v="1"/>
    <x v="0"/>
  </r>
  <r>
    <n v="13886"/>
    <s v="M"/>
    <s v="F"/>
    <n v="70000"/>
    <n v="4"/>
    <s v="Graduate Degree"/>
    <x v="2"/>
    <x v="0"/>
    <x v="0"/>
    <s v="2-5 Miles"/>
    <s v="North America"/>
    <x v="11"/>
    <x v="1"/>
  </r>
  <r>
    <n v="13073"/>
    <s v="M"/>
    <s v="F"/>
    <n v="60000"/>
    <n v="0"/>
    <s v="Partial College"/>
    <x v="2"/>
    <x v="0"/>
    <x v="2"/>
    <s v="5-10 Miles"/>
    <s v="North America"/>
    <x v="25"/>
    <x v="0"/>
  </r>
  <r>
    <n v="21940"/>
    <s v="M"/>
    <s v="M"/>
    <n v="90000"/>
    <n v="5"/>
    <s v="Graduate Degree"/>
    <x v="2"/>
    <x v="0"/>
    <x v="0"/>
    <s v="0-1 Miles"/>
    <s v="North America"/>
    <x v="15"/>
    <x v="1"/>
  </r>
  <r>
    <n v="20196"/>
    <s v="M"/>
    <s v="M"/>
    <n v="60000"/>
    <n v="1"/>
    <s v="Partial College"/>
    <x v="0"/>
    <x v="0"/>
    <x v="1"/>
    <s v="2-5 Miles"/>
    <s v="North America"/>
    <x v="12"/>
    <x v="1"/>
  </r>
  <r>
    <n v="23491"/>
    <s v="S"/>
    <s v="M"/>
    <n v="100000"/>
    <n v="0"/>
    <s v="Partial College"/>
    <x v="2"/>
    <x v="1"/>
    <x v="3"/>
    <s v="1-2 Miles"/>
    <s v="North America"/>
    <x v="12"/>
    <x v="0"/>
  </r>
  <r>
    <n v="16651"/>
    <s v="M"/>
    <s v="F"/>
    <n v="120000"/>
    <n v="2"/>
    <s v="Bachelors"/>
    <x v="4"/>
    <x v="0"/>
    <x v="4"/>
    <s v="5-10 Miles"/>
    <s v="North America"/>
    <x v="24"/>
    <x v="0"/>
  </r>
  <r>
    <n v="16813"/>
    <s v="M"/>
    <s v="M"/>
    <n v="60000"/>
    <n v="2"/>
    <s v="Partial College"/>
    <x v="2"/>
    <x v="0"/>
    <x v="2"/>
    <s v="10+ Miles"/>
    <s v="North America"/>
    <x v="10"/>
    <x v="0"/>
  </r>
  <r>
    <n v="16007"/>
    <s v="M"/>
    <s v="F"/>
    <n v="90000"/>
    <n v="5"/>
    <s v="Bachelors"/>
    <x v="4"/>
    <x v="0"/>
    <x v="2"/>
    <s v="1-2 Miles"/>
    <s v="North America"/>
    <x v="29"/>
    <x v="1"/>
  </r>
  <r>
    <n v="27434"/>
    <s v="S"/>
    <s v="M"/>
    <n v="70000"/>
    <n v="4"/>
    <s v="Partial College"/>
    <x v="2"/>
    <x v="0"/>
    <x v="1"/>
    <s v="10+ Miles"/>
    <s v="North America"/>
    <x v="16"/>
    <x v="0"/>
  </r>
  <r>
    <n v="27756"/>
    <s v="S"/>
    <s v="F"/>
    <n v="50000"/>
    <n v="3"/>
    <s v="Bachelors"/>
    <x v="0"/>
    <x v="1"/>
    <x v="1"/>
    <s v="0-1 Miles"/>
    <s v="North America"/>
    <x v="8"/>
    <x v="0"/>
  </r>
  <r>
    <n v="23818"/>
    <s v="M"/>
    <s v="F"/>
    <n v="50000"/>
    <n v="0"/>
    <s v="Graduate Degree"/>
    <x v="0"/>
    <x v="0"/>
    <x v="0"/>
    <s v="1-2 Miles"/>
    <s v="North America"/>
    <x v="6"/>
    <x v="1"/>
  </r>
  <r>
    <n v="19012"/>
    <s v="M"/>
    <s v="M"/>
    <n v="80000"/>
    <n v="3"/>
    <s v="Bachelors"/>
    <x v="4"/>
    <x v="0"/>
    <x v="1"/>
    <s v="1-2 Miles"/>
    <s v="North America"/>
    <x v="16"/>
    <x v="0"/>
  </r>
  <r>
    <n v="18329"/>
    <s v="S"/>
    <s v="M"/>
    <n v="30000"/>
    <n v="0"/>
    <s v="Partial High School"/>
    <x v="1"/>
    <x v="1"/>
    <x v="2"/>
    <s v="5-10 Miles"/>
    <s v="North America"/>
    <x v="40"/>
    <x v="0"/>
  </r>
  <r>
    <n v="29037"/>
    <s v="M"/>
    <s v="M"/>
    <n v="60000"/>
    <n v="0"/>
    <s v="Graduate Degree"/>
    <x v="2"/>
    <x v="1"/>
    <x v="0"/>
    <s v="0-1 Miles"/>
    <s v="North America"/>
    <x v="32"/>
    <x v="0"/>
  </r>
  <r>
    <n v="26576"/>
    <s v="M"/>
    <s v="F"/>
    <n v="60000"/>
    <n v="0"/>
    <s v="Partial College"/>
    <x v="0"/>
    <x v="0"/>
    <x v="2"/>
    <s v="5-10 Miles"/>
    <s v="North America"/>
    <x v="23"/>
    <x v="0"/>
  </r>
  <r>
    <n v="12192"/>
    <s v="S"/>
    <s v="F"/>
    <n v="60000"/>
    <n v="2"/>
    <s v="Partial High School"/>
    <x v="0"/>
    <x v="1"/>
    <x v="2"/>
    <s v="1-2 Miles"/>
    <s v="North America"/>
    <x v="36"/>
    <x v="0"/>
  </r>
  <r>
    <n v="14887"/>
    <s v="M"/>
    <s v="F"/>
    <n v="30000"/>
    <n v="1"/>
    <s v="High School"/>
    <x v="1"/>
    <x v="0"/>
    <x v="1"/>
    <s v="5-10 Miles"/>
    <s v="North America"/>
    <x v="31"/>
    <x v="0"/>
  </r>
  <r>
    <n v="11734"/>
    <s v="M"/>
    <s v="M"/>
    <n v="60000"/>
    <n v="1"/>
    <s v="Partial College"/>
    <x v="0"/>
    <x v="1"/>
    <x v="1"/>
    <s v="0-1 Miles"/>
    <s v="North America"/>
    <x v="15"/>
    <x v="0"/>
  </r>
  <r>
    <n v="17462"/>
    <s v="M"/>
    <s v="M"/>
    <n v="70000"/>
    <n v="3"/>
    <s v="Graduate Degree"/>
    <x v="4"/>
    <x v="0"/>
    <x v="2"/>
    <s v="5-10 Miles"/>
    <s v="North America"/>
    <x v="39"/>
    <x v="1"/>
  </r>
  <r>
    <n v="20659"/>
    <s v="M"/>
    <s v="M"/>
    <n v="70000"/>
    <n v="3"/>
    <s v="Graduate Degree"/>
    <x v="2"/>
    <x v="0"/>
    <x v="0"/>
    <s v="0-1 Miles"/>
    <s v="North America"/>
    <x v="11"/>
    <x v="1"/>
  </r>
  <r>
    <n v="28004"/>
    <s v="M"/>
    <s v="F"/>
    <n v="60000"/>
    <n v="3"/>
    <s v="Bachelors"/>
    <x v="4"/>
    <x v="0"/>
    <x v="2"/>
    <s v="10+ Miles"/>
    <s v="North America"/>
    <x v="29"/>
    <x v="0"/>
  </r>
  <r>
    <n v="19741"/>
    <s v="S"/>
    <s v="F"/>
    <n v="80000"/>
    <n v="4"/>
    <s v="Graduate Degree"/>
    <x v="4"/>
    <x v="0"/>
    <x v="2"/>
    <s v="5-10 Miles"/>
    <s v="North America"/>
    <x v="27"/>
    <x v="0"/>
  </r>
  <r>
    <n v="17450"/>
    <s v="M"/>
    <s v="M"/>
    <n v="80000"/>
    <n v="5"/>
    <s v="Partial College"/>
    <x v="2"/>
    <x v="0"/>
    <x v="4"/>
    <s v="5-10 Miles"/>
    <s v="North America"/>
    <x v="12"/>
    <x v="0"/>
  </r>
  <r>
    <n v="17337"/>
    <s v="S"/>
    <s v="M"/>
    <n v="40000"/>
    <n v="0"/>
    <s v="High School"/>
    <x v="0"/>
    <x v="0"/>
    <x v="1"/>
    <s v="5-10 Miles"/>
    <s v="North America"/>
    <x v="23"/>
    <x v="0"/>
  </r>
  <r>
    <n v="18594"/>
    <s v="S"/>
    <s v="F"/>
    <n v="80000"/>
    <n v="3"/>
    <s v="Bachelors"/>
    <x v="0"/>
    <x v="0"/>
    <x v="4"/>
    <s v="10+ Miles"/>
    <s v="North America"/>
    <x v="8"/>
    <x v="1"/>
  </r>
  <r>
    <n v="15982"/>
    <s v="M"/>
    <s v="M"/>
    <n v="110000"/>
    <n v="5"/>
    <s v="Partial College"/>
    <x v="2"/>
    <x v="0"/>
    <x v="3"/>
    <s v="2-5 Miles"/>
    <s v="North America"/>
    <x v="30"/>
    <x v="0"/>
  </r>
  <r>
    <n v="28625"/>
    <s v="S"/>
    <s v="M"/>
    <n v="40000"/>
    <n v="2"/>
    <s v="Partial College"/>
    <x v="1"/>
    <x v="1"/>
    <x v="1"/>
    <s v="1-2 Miles"/>
    <s v="North America"/>
    <x v="15"/>
    <x v="1"/>
  </r>
  <r>
    <n v="11269"/>
    <s v="M"/>
    <s v="M"/>
    <n v="130000"/>
    <n v="2"/>
    <s v="Graduate Degree"/>
    <x v="4"/>
    <x v="0"/>
    <x v="2"/>
    <s v="0-1 Miles"/>
    <s v="North America"/>
    <x v="3"/>
    <x v="0"/>
  </r>
  <r>
    <n v="25148"/>
    <s v="M"/>
    <s v="M"/>
    <n v="60000"/>
    <n v="2"/>
    <s v="High School"/>
    <x v="2"/>
    <x v="1"/>
    <x v="2"/>
    <s v="1-2 Miles"/>
    <s v="North America"/>
    <x v="28"/>
    <x v="1"/>
  </r>
  <r>
    <n v="13920"/>
    <s v="S"/>
    <s v="F"/>
    <n v="50000"/>
    <n v="4"/>
    <s v="Bachelors"/>
    <x v="0"/>
    <x v="0"/>
    <x v="2"/>
    <s v="0-1 Miles"/>
    <s v="North America"/>
    <x v="0"/>
    <x v="0"/>
  </r>
  <r>
    <n v="23704"/>
    <s v="S"/>
    <s v="M"/>
    <n v="40000"/>
    <n v="5"/>
    <s v="High School"/>
    <x v="2"/>
    <x v="0"/>
    <x v="3"/>
    <s v="10+ Miles"/>
    <s v="North America"/>
    <x v="2"/>
    <x v="1"/>
  </r>
  <r>
    <n v="28972"/>
    <s v="S"/>
    <s v="F"/>
    <n v="60000"/>
    <n v="3"/>
    <s v="Graduate Degree"/>
    <x v="4"/>
    <x v="0"/>
    <x v="2"/>
    <s v="10+ Miles"/>
    <s v="North America"/>
    <x v="29"/>
    <x v="0"/>
  </r>
  <r>
    <n v="22730"/>
    <s v="M"/>
    <s v="M"/>
    <n v="70000"/>
    <n v="5"/>
    <s v="Bachelors"/>
    <x v="4"/>
    <x v="0"/>
    <x v="2"/>
    <s v="10+ Miles"/>
    <s v="North America"/>
    <x v="18"/>
    <x v="0"/>
  </r>
  <r>
    <n v="29134"/>
    <s v="M"/>
    <s v="M"/>
    <n v="60000"/>
    <n v="4"/>
    <s v="Bachelors"/>
    <x v="0"/>
    <x v="1"/>
    <x v="4"/>
    <s v="10+ Miles"/>
    <s v="North America"/>
    <x v="0"/>
    <x v="0"/>
  </r>
  <r>
    <n v="14332"/>
    <s v="S"/>
    <s v="F"/>
    <n v="30000"/>
    <n v="0"/>
    <s v="High School"/>
    <x v="0"/>
    <x v="1"/>
    <x v="2"/>
    <s v="5-10 Miles"/>
    <s v="North America"/>
    <x v="22"/>
    <x v="0"/>
  </r>
  <r>
    <n v="19117"/>
    <s v="S"/>
    <s v="F"/>
    <n v="60000"/>
    <n v="1"/>
    <s v="Graduate Degree"/>
    <x v="2"/>
    <x v="0"/>
    <x v="0"/>
    <s v="2-5 Miles"/>
    <s v="North America"/>
    <x v="4"/>
    <x v="1"/>
  </r>
  <r>
    <n v="22864"/>
    <s v="M"/>
    <s v="M"/>
    <n v="90000"/>
    <n v="2"/>
    <s v="Partial College"/>
    <x v="2"/>
    <x v="1"/>
    <x v="0"/>
    <s v="5-10 Miles"/>
    <s v="North America"/>
    <x v="38"/>
    <x v="1"/>
  </r>
  <r>
    <n v="11292"/>
    <s v="S"/>
    <s v="M"/>
    <n v="150000"/>
    <n v="1"/>
    <s v="Partial College"/>
    <x v="2"/>
    <x v="1"/>
    <x v="4"/>
    <s v="0-1 Miles"/>
    <s v="North America"/>
    <x v="20"/>
    <x v="1"/>
  </r>
  <r>
    <n v="13466"/>
    <s v="M"/>
    <s v="M"/>
    <n v="80000"/>
    <n v="5"/>
    <s v="Partial College"/>
    <x v="2"/>
    <x v="0"/>
    <x v="4"/>
    <s v="1-2 Miles"/>
    <s v="North America"/>
    <x v="30"/>
    <x v="0"/>
  </r>
  <r>
    <n v="23731"/>
    <s v="M"/>
    <s v="M"/>
    <n v="60000"/>
    <n v="2"/>
    <s v="High School"/>
    <x v="2"/>
    <x v="0"/>
    <x v="2"/>
    <s v="2-5 Miles"/>
    <s v="North America"/>
    <x v="9"/>
    <x v="1"/>
  </r>
  <r>
    <n v="28672"/>
    <s v="S"/>
    <s v="M"/>
    <n v="70000"/>
    <n v="4"/>
    <s v="Graduate Degree"/>
    <x v="2"/>
    <x v="0"/>
    <x v="0"/>
    <s v="2-5 Miles"/>
    <s v="North America"/>
    <x v="11"/>
    <x v="1"/>
  </r>
  <r>
    <n v="11809"/>
    <s v="M"/>
    <s v="M"/>
    <n v="60000"/>
    <n v="2"/>
    <s v="Bachelors"/>
    <x v="0"/>
    <x v="0"/>
    <x v="0"/>
    <s v="0-1 Miles"/>
    <s v="North America"/>
    <x v="13"/>
    <x v="1"/>
  </r>
  <r>
    <n v="19664"/>
    <s v="S"/>
    <s v="M"/>
    <n v="100000"/>
    <n v="3"/>
    <s v="Bachelors"/>
    <x v="4"/>
    <x v="1"/>
    <x v="4"/>
    <s v="1-2 Miles"/>
    <s v="North America"/>
    <x v="13"/>
    <x v="0"/>
  </r>
  <r>
    <n v="12121"/>
    <s v="S"/>
    <s v="M"/>
    <n v="60000"/>
    <n v="3"/>
    <s v="High School"/>
    <x v="2"/>
    <x v="0"/>
    <x v="2"/>
    <s v="10+ Miles"/>
    <s v="North America"/>
    <x v="39"/>
    <x v="1"/>
  </r>
  <r>
    <n v="13507"/>
    <s v="M"/>
    <s v="F"/>
    <n v="10000"/>
    <n v="2"/>
    <s v="Partial College"/>
    <x v="3"/>
    <x v="0"/>
    <x v="0"/>
    <s v="1-2 Miles"/>
    <s v="Europe"/>
    <x v="5"/>
    <x v="0"/>
  </r>
  <r>
    <n v="19280"/>
    <s v="M"/>
    <s v="M"/>
    <n v="120000"/>
    <n v="2"/>
    <s v="Partial College"/>
    <x v="3"/>
    <x v="0"/>
    <x v="1"/>
    <s v="0-1 Miles"/>
    <s v="Europe"/>
    <x v="8"/>
    <x v="1"/>
  </r>
  <r>
    <n v="22173"/>
    <s v="M"/>
    <s v="F"/>
    <n v="30000"/>
    <n v="3"/>
    <s v="High School"/>
    <x v="0"/>
    <x v="1"/>
    <x v="2"/>
    <s v="1-2 Miles"/>
    <s v="Pacific"/>
    <x v="9"/>
    <x v="1"/>
  </r>
  <r>
    <n v="12697"/>
    <s v="S"/>
    <s v="F"/>
    <n v="90000"/>
    <n v="0"/>
    <s v="Bachelors"/>
    <x v="2"/>
    <x v="1"/>
    <x v="3"/>
    <s v="10+ Miles"/>
    <s v="Pacific"/>
    <x v="4"/>
    <x v="0"/>
  </r>
  <r>
    <n v="11434"/>
    <s v="M"/>
    <s v="M"/>
    <n v="170000"/>
    <n v="5"/>
    <s v="Partial College"/>
    <x v="2"/>
    <x v="0"/>
    <x v="0"/>
    <s v="0-1 Miles"/>
    <s v="Europe"/>
    <x v="10"/>
    <x v="0"/>
  </r>
  <r>
    <n v="25323"/>
    <s v="M"/>
    <s v="M"/>
    <n v="40000"/>
    <n v="2"/>
    <s v="Partial College"/>
    <x v="1"/>
    <x v="0"/>
    <x v="1"/>
    <s v="1-2 Miles"/>
    <s v="Europe"/>
    <x v="11"/>
    <x v="1"/>
  </r>
  <r>
    <n v="23542"/>
    <s v="S"/>
    <s v="M"/>
    <n v="60000"/>
    <n v="1"/>
    <s v="Partial College"/>
    <x v="0"/>
    <x v="1"/>
    <x v="1"/>
    <s v="0-1 Miles"/>
    <s v="Pacific"/>
    <x v="12"/>
    <x v="1"/>
  </r>
  <r>
    <n v="20870"/>
    <s v="S"/>
    <s v="F"/>
    <n v="10000"/>
    <n v="2"/>
    <s v="High School"/>
    <x v="3"/>
    <x v="0"/>
    <x v="1"/>
    <s v="0-1 Miles"/>
    <s v="Europe"/>
    <x v="13"/>
    <x v="1"/>
  </r>
  <r>
    <n v="23316"/>
    <s v="S"/>
    <s v="M"/>
    <n v="30000"/>
    <n v="3"/>
    <s v="Partial College"/>
    <x v="1"/>
    <x v="1"/>
    <x v="2"/>
    <s v="1-2 Miles"/>
    <s v="Pacific"/>
    <x v="14"/>
    <x v="1"/>
  </r>
  <r>
    <n v="12610"/>
    <s v="M"/>
    <s v="F"/>
    <n v="30000"/>
    <n v="1"/>
    <s v="Bachelors"/>
    <x v="1"/>
    <x v="0"/>
    <x v="0"/>
    <s v="0-1 Miles"/>
    <s v="Europe"/>
    <x v="15"/>
    <x v="0"/>
  </r>
  <r>
    <n v="27183"/>
    <s v="S"/>
    <s v="M"/>
    <n v="40000"/>
    <n v="2"/>
    <s v="Partial College"/>
    <x v="1"/>
    <x v="0"/>
    <x v="1"/>
    <s v="1-2 Miles"/>
    <s v="Europe"/>
    <x v="11"/>
    <x v="1"/>
  </r>
  <r>
    <n v="25940"/>
    <s v="S"/>
    <s v="M"/>
    <n v="20000"/>
    <n v="2"/>
    <s v="Partial High School"/>
    <x v="1"/>
    <x v="0"/>
    <x v="2"/>
    <s v="5-10 Miles"/>
    <s v="Pacific"/>
    <x v="10"/>
    <x v="1"/>
  </r>
  <r>
    <n v="25598"/>
    <s v="M"/>
    <s v="F"/>
    <n v="40000"/>
    <n v="0"/>
    <s v="Graduate Degree"/>
    <x v="1"/>
    <x v="0"/>
    <x v="0"/>
    <s v="0-1 Miles"/>
    <s v="Europe"/>
    <x v="4"/>
    <x v="1"/>
  </r>
  <r>
    <n v="21564"/>
    <s v="S"/>
    <s v="F"/>
    <n v="80000"/>
    <n v="0"/>
    <s v="Bachelors"/>
    <x v="2"/>
    <x v="0"/>
    <x v="3"/>
    <s v="10+ Miles"/>
    <s v="Pacific"/>
    <x v="11"/>
    <x v="0"/>
  </r>
  <r>
    <n v="19193"/>
    <s v="S"/>
    <s v="M"/>
    <n v="40000"/>
    <n v="2"/>
    <s v="Partial College"/>
    <x v="1"/>
    <x v="0"/>
    <x v="0"/>
    <s v="1-2 Miles"/>
    <s v="Europe"/>
    <x v="11"/>
    <x v="1"/>
  </r>
  <r>
    <n v="26412"/>
    <s v="M"/>
    <s v="F"/>
    <n v="80000"/>
    <n v="5"/>
    <s v="High School"/>
    <x v="4"/>
    <x v="1"/>
    <x v="4"/>
    <s v="5-10 Miles"/>
    <s v="Europe"/>
    <x v="16"/>
    <x v="0"/>
  </r>
  <r>
    <n v="27184"/>
    <s v="S"/>
    <s v="M"/>
    <n v="40000"/>
    <n v="2"/>
    <s v="Partial College"/>
    <x v="1"/>
    <x v="1"/>
    <x v="1"/>
    <s v="0-1 Miles"/>
    <s v="Europe"/>
    <x v="17"/>
    <x v="0"/>
  </r>
  <r>
    <n v="12590"/>
    <s v="S"/>
    <s v="M"/>
    <n v="30000"/>
    <n v="1"/>
    <s v="Bachelors"/>
    <x v="1"/>
    <x v="0"/>
    <x v="0"/>
    <s v="0-1 Miles"/>
    <s v="Europe"/>
    <x v="18"/>
    <x v="0"/>
  </r>
  <r>
    <n v="17841"/>
    <s v="S"/>
    <s v="M"/>
    <n v="30000"/>
    <n v="0"/>
    <s v="Partial College"/>
    <x v="1"/>
    <x v="1"/>
    <x v="1"/>
    <s v="0-1 Miles"/>
    <s v="Europe"/>
    <x v="19"/>
    <x v="1"/>
  </r>
  <r>
    <n v="18283"/>
    <s v="S"/>
    <s v="F"/>
    <n v="100000"/>
    <n v="0"/>
    <s v="Bachelors"/>
    <x v="2"/>
    <x v="1"/>
    <x v="1"/>
    <s v="5-10 Miles"/>
    <s v="Pacific"/>
    <x v="8"/>
    <x v="0"/>
  </r>
  <r>
    <n v="18299"/>
    <s v="M"/>
    <s v="M"/>
    <n v="70000"/>
    <n v="5"/>
    <s v="Partial College"/>
    <x v="0"/>
    <x v="0"/>
    <x v="2"/>
    <s v="5-10 Miles"/>
    <s v="Pacific"/>
    <x v="20"/>
    <x v="0"/>
  </r>
  <r>
    <n v="16466"/>
    <s v="S"/>
    <s v="F"/>
    <n v="20000"/>
    <n v="0"/>
    <s v="Partial High School"/>
    <x v="3"/>
    <x v="1"/>
    <x v="2"/>
    <s v="0-1 Miles"/>
    <s v="Europe"/>
    <x v="21"/>
    <x v="1"/>
  </r>
  <r>
    <n v="19273"/>
    <s v="M"/>
    <s v="F"/>
    <n v="20000"/>
    <n v="2"/>
    <s v="Partial College"/>
    <x v="3"/>
    <x v="0"/>
    <x v="0"/>
    <s v="0-1 Miles"/>
    <s v="Europe"/>
    <x v="18"/>
    <x v="0"/>
  </r>
  <r>
    <n v="22400"/>
    <s v="M"/>
    <s v="M"/>
    <n v="10000"/>
    <n v="0"/>
    <s v="Partial College"/>
    <x v="3"/>
    <x v="1"/>
    <x v="1"/>
    <s v="0-1 Miles"/>
    <s v="Pacific"/>
    <x v="22"/>
    <x v="1"/>
  </r>
  <r>
    <n v="20942"/>
    <s v="S"/>
    <s v="F"/>
    <n v="20000"/>
    <n v="0"/>
    <s v="High School"/>
    <x v="3"/>
    <x v="1"/>
    <x v="1"/>
    <s v="5-10 Miles"/>
    <s v="Europe"/>
    <x v="23"/>
    <x v="0"/>
  </r>
  <r>
    <n v="18484"/>
    <s v="S"/>
    <s v="M"/>
    <n v="80000"/>
    <n v="2"/>
    <s v="High School"/>
    <x v="0"/>
    <x v="1"/>
    <x v="2"/>
    <s v="1-2 Miles"/>
    <s v="Pacific"/>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B44AA9-6A7A-42A8-B837-FB5B717E1C93}"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D131"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showDataAs="percentOfRow" baseField="9"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A37B70-3C1D-43A5-BD25-D5A766228F87}"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7:D122"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showDataAs="percentOfRow" baseField="1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615DE8-657A-4D24-8A7F-9A25437A54B2}"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0:D97" firstHeaderRow="1" firstDataRow="2" firstDataCol="1"/>
  <pivotFields count="13">
    <pivotField showAll="0"/>
    <pivotField showAll="0"/>
    <pivotField showAll="0"/>
    <pivotField numFmtId="164" showAll="0"/>
    <pivotField showAll="0"/>
    <pivotField showAll="0"/>
    <pivotField axis="axisRow" showAll="0">
      <items count="6">
        <item x="1"/>
        <item x="4"/>
        <item x="3"/>
        <item x="2"/>
        <item x="0"/>
        <item t="default"/>
      </items>
    </pivotField>
    <pivotField showAll="0"/>
    <pivotField showAll="0"/>
    <pivotField showAll="0"/>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2"/>
  </colFields>
  <colItems count="3">
    <i>
      <x/>
    </i>
    <i>
      <x v="1"/>
    </i>
    <i t="grand">
      <x/>
    </i>
  </colItems>
  <dataFields count="1">
    <dataField name="% of Purchased Bike" fld="12" subtotal="count" showDataAs="percentOfRow" baseField="6" baseItem="0" numFmtId="9"/>
  </dataField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1" format="4" series="1">
      <pivotArea type="data" outline="0" fieldPosition="0">
        <references count="2">
          <reference field="4294967294" count="1" selected="0">
            <x v="0"/>
          </reference>
          <reference field="12" count="1" selected="0">
            <x v="0"/>
          </reference>
        </references>
      </pivotArea>
    </chartFormat>
    <chartFormat chart="11"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27CE8-ACEA-4714-B9AD-9D26BA075429}"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2:D76" firstHeaderRow="1" firstDataRow="2" firstDataCol="1"/>
  <pivotFields count="13">
    <pivotField showAll="0"/>
    <pivotField showAll="0"/>
    <pivotField showAll="0"/>
    <pivotField numFmtId="164" showAll="0"/>
    <pivotField showAll="0"/>
    <pivotField showAll="0"/>
    <pivotField showAll="0"/>
    <pivotField axis="axisRow" showAll="0">
      <items count="3">
        <item x="1"/>
        <item x="0"/>
        <item t="default"/>
      </items>
    </pivotField>
    <pivotField showAll="0"/>
    <pivotField showAll="0"/>
    <pivotField showAll="0"/>
    <pivotField showAll="0"/>
    <pivotField axis="axisCol" dataField="1" showAll="0">
      <items count="3">
        <item x="0"/>
        <item x="1"/>
        <item t="default"/>
      </items>
    </pivotField>
  </pivotFields>
  <rowFields count="1">
    <field x="7"/>
  </rowFields>
  <rowItems count="3">
    <i>
      <x/>
    </i>
    <i>
      <x v="1"/>
    </i>
    <i t="grand">
      <x/>
    </i>
  </rowItems>
  <colFields count="1">
    <field x="12"/>
  </colFields>
  <colItems count="3">
    <i>
      <x/>
    </i>
    <i>
      <x v="1"/>
    </i>
    <i t="grand">
      <x/>
    </i>
  </colItems>
  <dataFields count="1">
    <dataField name="% of Purchased Bike" fld="12" subtotal="count" showDataAs="percentOfRow" baseField="7" baseItem="0" numFmtId="9"/>
  </dataFields>
  <chartFormats count="5">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pivotArea type="data" outline="0" fieldPosition="0">
        <references count="3">
          <reference field="4294967294" count="1" selected="0">
            <x v="0"/>
          </reference>
          <reference field="7" count="1" selected="0">
            <x v="1"/>
          </reference>
          <reference field="12" count="1" selected="0">
            <x v="0"/>
          </reference>
        </references>
      </pivotArea>
    </chartFormat>
    <chartFormat chart="20" format="5" series="1">
      <pivotArea type="data" outline="0" fieldPosition="0">
        <references count="2">
          <reference field="4294967294" count="1" selected="0">
            <x v="0"/>
          </reference>
          <reference field="12" count="1" selected="0">
            <x v="0"/>
          </reference>
        </references>
      </pivotArea>
    </chartFormat>
    <chartFormat chart="20" format="6"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566D76-1DF4-4F82-A4B8-5ABF16C8C243}"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54:D61" firstHeaderRow="1" firstDataRow="2" firstDataCol="1"/>
  <pivotFields count="13">
    <pivotField showAll="0"/>
    <pivotField showAll="0"/>
    <pivotField showAll="0"/>
    <pivotField numFmtId="164" showAll="0"/>
    <pivotField showAll="0"/>
    <pivotField showAll="0"/>
    <pivotField showAll="0"/>
    <pivotField showAll="0"/>
    <pivotField axis="axisRow" showAll="0">
      <items count="6">
        <item x="0"/>
        <item x="1"/>
        <item x="2"/>
        <item x="4"/>
        <item x="3"/>
        <item t="default"/>
      </items>
    </pivotField>
    <pivotField showAll="0"/>
    <pivotField showAll="0"/>
    <pivotField showAll="0"/>
    <pivotField axis="axisCol" dataField="1" showAll="0">
      <items count="3">
        <item x="0"/>
        <item x="1"/>
        <item t="default"/>
      </items>
    </pivotField>
  </pivotFields>
  <rowFields count="1">
    <field x="8"/>
  </rowFields>
  <rowItems count="6">
    <i>
      <x/>
    </i>
    <i>
      <x v="1"/>
    </i>
    <i>
      <x v="2"/>
    </i>
    <i>
      <x v="3"/>
    </i>
    <i>
      <x v="4"/>
    </i>
    <i t="grand">
      <x/>
    </i>
  </rowItems>
  <colFields count="1">
    <field x="12"/>
  </colFields>
  <colItems count="3">
    <i>
      <x/>
    </i>
    <i>
      <x v="1"/>
    </i>
    <i t="grand">
      <x/>
    </i>
  </colItems>
  <dataFields count="1">
    <dataField name="% of Purchased Bike" fld="12" subtotal="count" showDataAs="percentOfRow" baseField="8" baseItem="0" numFmtId="9"/>
  </dataFields>
  <formats count="11">
    <format dxfId="0">
      <pivotArea type="all" dataOnly="0" outline="0" fieldPosition="0"/>
    </format>
    <format dxfId="1">
      <pivotArea outline="0" collapsedLevelsAreSubtotals="1" fieldPosition="0"/>
    </format>
    <format dxfId="2">
      <pivotArea type="origin" dataOnly="0" labelOnly="1" outline="0" fieldPosition="0"/>
    </format>
    <format dxfId="3">
      <pivotArea field="12" type="button" dataOnly="0" labelOnly="1" outline="0" axis="axisCol" fieldPosition="0"/>
    </format>
    <format dxfId="4">
      <pivotArea type="topRight" dataOnly="0" labelOnly="1" outline="0" fieldPosition="0"/>
    </format>
    <format dxfId="5">
      <pivotArea field="8" type="button" dataOnly="0" labelOnly="1" outline="0" axis="axisRow" fieldPosition="0"/>
    </format>
    <format dxfId="6">
      <pivotArea dataOnly="0" labelOnly="1" fieldPosition="0">
        <references count="1">
          <reference field="8" count="0"/>
        </references>
      </pivotArea>
    </format>
    <format dxfId="7">
      <pivotArea dataOnly="0" labelOnly="1" grandRow="1" outline="0" fieldPosition="0"/>
    </format>
    <format dxfId="8">
      <pivotArea dataOnly="0" labelOnly="1" fieldPosition="0">
        <references count="1">
          <reference field="12" count="0"/>
        </references>
      </pivotArea>
    </format>
    <format dxfId="9">
      <pivotArea dataOnly="0" labelOnly="1" grandCol="1" outline="0" fieldPosition="0"/>
    </format>
    <format dxfId="10">
      <pivotArea outline="0" fieldPosition="0">
        <references count="1">
          <reference field="4294967294" count="1">
            <x v="0"/>
          </reference>
        </references>
      </pivotArea>
    </format>
  </formats>
  <chartFormats count="103">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6" format="0" series="1">
      <pivotArea type="data" outline="0" fieldPosition="0">
        <references count="2">
          <reference field="4294967294" count="1" selected="0">
            <x v="0"/>
          </reference>
          <reference field="12" count="1" selected="0">
            <x v="0"/>
          </reference>
        </references>
      </pivotArea>
    </chartFormat>
    <chartFormat chart="6" format="1" series="1">
      <pivotArea type="data" outline="0" fieldPosition="0">
        <references count="2">
          <reference field="4294967294" count="1" selected="0">
            <x v="0"/>
          </reference>
          <reference field="12" count="1" selected="0">
            <x v="1"/>
          </reference>
        </references>
      </pivotArea>
    </chartFormat>
    <chartFormat chart="7" format="0" series="1">
      <pivotArea type="data" outline="0" fieldPosition="0">
        <references count="2">
          <reference field="4294967294" count="1" selected="0">
            <x v="0"/>
          </reference>
          <reference field="12" count="1" selected="0">
            <x v="0"/>
          </reference>
        </references>
      </pivotArea>
    </chartFormat>
    <chartFormat chart="7" format="1" series="1">
      <pivotArea type="data" outline="0" fieldPosition="0">
        <references count="2">
          <reference field="4294967294" count="1" selected="0">
            <x v="0"/>
          </reference>
          <reference field="12" count="1" selected="0">
            <x v="1"/>
          </reference>
        </references>
      </pivotArea>
    </chartFormat>
    <chartFormat chart="8" format="0" series="1">
      <pivotArea type="data" outline="0" fieldPosition="0">
        <references count="2">
          <reference field="4294967294" count="1" selected="0">
            <x v="0"/>
          </reference>
          <reference field="12" count="1" selected="0">
            <x v="0"/>
          </reference>
        </references>
      </pivotArea>
    </chartFormat>
    <chartFormat chart="8" format="1" series="1">
      <pivotArea type="data" outline="0" fieldPosition="0">
        <references count="2">
          <reference field="4294967294" count="1" selected="0">
            <x v="0"/>
          </reference>
          <reference field="12" count="1" selected="0">
            <x v="1"/>
          </reference>
        </references>
      </pivotArea>
    </chartFormat>
    <chartFormat chart="9" format="0" series="1">
      <pivotArea type="data" outline="0" fieldPosition="0">
        <references count="2">
          <reference field="4294967294" count="1" selected="0">
            <x v="0"/>
          </reference>
          <reference field="12" count="1" selected="0">
            <x v="0"/>
          </reference>
        </references>
      </pivotArea>
    </chartFormat>
    <chartFormat chart="9" format="1" series="1">
      <pivotArea type="data" outline="0" fieldPosition="0">
        <references count="2">
          <reference field="4294967294" count="1" selected="0">
            <x v="0"/>
          </reference>
          <reference field="12" count="1" selected="0">
            <x v="1"/>
          </reference>
        </references>
      </pivotArea>
    </chartFormat>
    <chartFormat chart="10" format="0" series="1">
      <pivotArea type="data" outline="0" fieldPosition="0">
        <references count="2">
          <reference field="4294967294" count="1" selected="0">
            <x v="0"/>
          </reference>
          <reference field="12" count="1" selected="0">
            <x v="0"/>
          </reference>
        </references>
      </pivotArea>
    </chartFormat>
    <chartFormat chart="10" format="1" series="1">
      <pivotArea type="data" outline="0" fieldPosition="0">
        <references count="2">
          <reference field="4294967294" count="1" selected="0">
            <x v="0"/>
          </reference>
          <reference field="12" count="1" selected="0">
            <x v="1"/>
          </reference>
        </references>
      </pivotArea>
    </chartFormat>
    <chartFormat chart="11" format="0" series="1">
      <pivotArea type="data" outline="0" fieldPosition="0">
        <references count="2">
          <reference field="4294967294" count="1" selected="0">
            <x v="0"/>
          </reference>
          <reference field="12" count="1" selected="0">
            <x v="0"/>
          </reference>
        </references>
      </pivotArea>
    </chartFormat>
    <chartFormat chart="11" format="1" series="1">
      <pivotArea type="data" outline="0" fieldPosition="0">
        <references count="2">
          <reference field="4294967294" count="1" selected="0">
            <x v="0"/>
          </reference>
          <reference field="12" count="1" selected="0">
            <x v="1"/>
          </reference>
        </references>
      </pivotArea>
    </chartFormat>
    <chartFormat chart="13" format="0" series="1">
      <pivotArea type="data" outline="0" fieldPosition="0">
        <references count="2">
          <reference field="4294967294" count="1" selected="0">
            <x v="0"/>
          </reference>
          <reference field="12" count="1" selected="0">
            <x v="0"/>
          </reference>
        </references>
      </pivotArea>
    </chartFormat>
    <chartFormat chart="13" format="1" series="1">
      <pivotArea type="data" outline="0" fieldPosition="0">
        <references count="2">
          <reference field="4294967294" count="1" selected="0">
            <x v="0"/>
          </reference>
          <reference field="12" count="1" selected="0">
            <x v="1"/>
          </reference>
        </references>
      </pivotArea>
    </chartFormat>
    <chartFormat chart="14" format="0" series="1">
      <pivotArea type="data" outline="0" fieldPosition="0">
        <references count="2">
          <reference field="4294967294" count="1" selected="0">
            <x v="0"/>
          </reference>
          <reference field="12" count="1" selected="0">
            <x v="0"/>
          </reference>
        </references>
      </pivotArea>
    </chartFormat>
    <chartFormat chart="14" format="1" series="1">
      <pivotArea type="data" outline="0" fieldPosition="0">
        <references count="2">
          <reference field="4294967294" count="1" selected="0">
            <x v="0"/>
          </reference>
          <reference field="12" count="1" selected="0">
            <x v="1"/>
          </reference>
        </references>
      </pivotArea>
    </chartFormat>
    <chartFormat chart="15" format="0" series="1">
      <pivotArea type="data" outline="0" fieldPosition="0">
        <references count="2">
          <reference field="4294967294" count="1" selected="0">
            <x v="0"/>
          </reference>
          <reference field="12" count="1" selected="0">
            <x v="0"/>
          </reference>
        </references>
      </pivotArea>
    </chartFormat>
    <chartFormat chart="15" format="1" series="1">
      <pivotArea type="data" outline="0" fieldPosition="0">
        <references count="2">
          <reference field="4294967294" count="1" selected="0">
            <x v="0"/>
          </reference>
          <reference field="12" count="1" selected="0">
            <x v="1"/>
          </reference>
        </references>
      </pivotArea>
    </chartFormat>
    <chartFormat chart="16" format="0" series="1">
      <pivotArea type="data" outline="0" fieldPosition="0">
        <references count="2">
          <reference field="4294967294" count="1" selected="0">
            <x v="0"/>
          </reference>
          <reference field="12" count="1" selected="0">
            <x v="0"/>
          </reference>
        </references>
      </pivotArea>
    </chartFormat>
    <chartFormat chart="16" format="1" series="1">
      <pivotArea type="data" outline="0" fieldPosition="0">
        <references count="2">
          <reference field="4294967294" count="1" selected="0">
            <x v="0"/>
          </reference>
          <reference field="12" count="1" selected="0">
            <x v="1"/>
          </reference>
        </references>
      </pivotArea>
    </chartFormat>
    <chartFormat chart="17" format="0" series="1">
      <pivotArea type="data" outline="0" fieldPosition="0">
        <references count="2">
          <reference field="4294967294" count="1" selected="0">
            <x v="0"/>
          </reference>
          <reference field="12" count="1" selected="0">
            <x v="0"/>
          </reference>
        </references>
      </pivotArea>
    </chartFormat>
    <chartFormat chart="17" format="1" series="1">
      <pivotArea type="data" outline="0" fieldPosition="0">
        <references count="2">
          <reference field="4294967294" count="1" selected="0">
            <x v="0"/>
          </reference>
          <reference field="12" count="1" selected="0">
            <x v="1"/>
          </reference>
        </references>
      </pivotArea>
    </chartFormat>
    <chartFormat chart="18" format="0" series="1">
      <pivotArea type="data" outline="0" fieldPosition="0">
        <references count="2">
          <reference field="4294967294" count="1" selected="0">
            <x v="0"/>
          </reference>
          <reference field="12" count="1" selected="0">
            <x v="0"/>
          </reference>
        </references>
      </pivotArea>
    </chartFormat>
    <chartFormat chart="18" format="1" series="1">
      <pivotArea type="data" outline="0" fieldPosition="0">
        <references count="2">
          <reference field="4294967294" count="1" selected="0">
            <x v="0"/>
          </reference>
          <reference field="12" count="1" selected="0">
            <x v="1"/>
          </reference>
        </references>
      </pivotArea>
    </chartFormat>
    <chartFormat chart="19" format="0" series="1">
      <pivotArea type="data" outline="0" fieldPosition="0">
        <references count="2">
          <reference field="4294967294" count="1" selected="0">
            <x v="0"/>
          </reference>
          <reference field="12" count="1" selected="0">
            <x v="0"/>
          </reference>
        </references>
      </pivotArea>
    </chartFormat>
    <chartFormat chart="19" format="1" series="1">
      <pivotArea type="data" outline="0" fieldPosition="0">
        <references count="2">
          <reference field="4294967294" count="1" selected="0">
            <x v="0"/>
          </reference>
          <reference field="12" count="1" selected="0">
            <x v="1"/>
          </reference>
        </references>
      </pivotArea>
    </chartFormat>
    <chartFormat chart="20" format="0" series="1">
      <pivotArea type="data" outline="0" fieldPosition="0">
        <references count="2">
          <reference field="4294967294" count="1" selected="0">
            <x v="0"/>
          </reference>
          <reference field="12" count="1" selected="0">
            <x v="0"/>
          </reference>
        </references>
      </pivotArea>
    </chartFormat>
    <chartFormat chart="20" format="1" series="1">
      <pivotArea type="data" outline="0" fieldPosition="0">
        <references count="2">
          <reference field="4294967294" count="1" selected="0">
            <x v="0"/>
          </reference>
          <reference field="12" count="1" selected="0">
            <x v="1"/>
          </reference>
        </references>
      </pivotArea>
    </chartFormat>
    <chartFormat chart="21" format="0" series="1">
      <pivotArea type="data" outline="0" fieldPosition="0">
        <references count="2">
          <reference field="4294967294" count="1" selected="0">
            <x v="0"/>
          </reference>
          <reference field="12" count="1" selected="0">
            <x v="0"/>
          </reference>
        </references>
      </pivotArea>
    </chartFormat>
    <chartFormat chart="21" format="1" series="1">
      <pivotArea type="data" outline="0" fieldPosition="0">
        <references count="2">
          <reference field="4294967294" count="1" selected="0">
            <x v="0"/>
          </reference>
          <reference field="12" count="1" selected="0">
            <x v="1"/>
          </reference>
        </references>
      </pivotArea>
    </chartFormat>
    <chartFormat chart="22" format="0" series="1">
      <pivotArea type="data" outline="0" fieldPosition="0">
        <references count="2">
          <reference field="4294967294" count="1" selected="0">
            <x v="0"/>
          </reference>
          <reference field="12" count="1" selected="0">
            <x v="0"/>
          </reference>
        </references>
      </pivotArea>
    </chartFormat>
    <chartFormat chart="22" format="1" series="1">
      <pivotArea type="data" outline="0" fieldPosition="0">
        <references count="2">
          <reference field="4294967294" count="1" selected="0">
            <x v="0"/>
          </reference>
          <reference field="12" count="1" selected="0">
            <x v="1"/>
          </reference>
        </references>
      </pivotArea>
    </chartFormat>
    <chartFormat chart="24" format="0" series="1">
      <pivotArea type="data" outline="0" fieldPosition="0">
        <references count="2">
          <reference field="4294967294" count="1" selected="0">
            <x v="0"/>
          </reference>
          <reference field="12" count="1" selected="0">
            <x v="0"/>
          </reference>
        </references>
      </pivotArea>
    </chartFormat>
    <chartFormat chart="24" format="1" series="1">
      <pivotArea type="data" outline="0" fieldPosition="0">
        <references count="2">
          <reference field="4294967294" count="1" selected="0">
            <x v="0"/>
          </reference>
          <reference field="12" count="1" selected="0">
            <x v="1"/>
          </reference>
        </references>
      </pivotArea>
    </chartFormat>
    <chartFormat chart="25" format="0" series="1">
      <pivotArea type="data" outline="0" fieldPosition="0">
        <references count="2">
          <reference field="4294967294" count="1" selected="0">
            <x v="0"/>
          </reference>
          <reference field="12" count="1" selected="0">
            <x v="0"/>
          </reference>
        </references>
      </pivotArea>
    </chartFormat>
    <chartFormat chart="25" format="1" series="1">
      <pivotArea type="data" outline="0" fieldPosition="0">
        <references count="2">
          <reference field="4294967294" count="1" selected="0">
            <x v="0"/>
          </reference>
          <reference field="12" count="1" selected="0">
            <x v="1"/>
          </reference>
        </references>
      </pivotArea>
    </chartFormat>
    <chartFormat chart="27" format="0" series="1">
      <pivotArea type="data" outline="0" fieldPosition="0">
        <references count="2">
          <reference field="4294967294" count="1" selected="0">
            <x v="0"/>
          </reference>
          <reference field="12" count="1" selected="0">
            <x v="0"/>
          </reference>
        </references>
      </pivotArea>
    </chartFormat>
    <chartFormat chart="27" format="1" series="1">
      <pivotArea type="data" outline="0" fieldPosition="0">
        <references count="2">
          <reference field="4294967294" count="1" selected="0">
            <x v="0"/>
          </reference>
          <reference field="12" count="1" selected="0">
            <x v="1"/>
          </reference>
        </references>
      </pivotArea>
    </chartFormat>
    <chartFormat chart="28" format="0" series="1">
      <pivotArea type="data" outline="0" fieldPosition="0">
        <references count="2">
          <reference field="4294967294" count="1" selected="0">
            <x v="0"/>
          </reference>
          <reference field="12" count="1" selected="0">
            <x v="0"/>
          </reference>
        </references>
      </pivotArea>
    </chartFormat>
    <chartFormat chart="28" format="1" series="1">
      <pivotArea type="data" outline="0" fieldPosition="0">
        <references count="2">
          <reference field="4294967294" count="1" selected="0">
            <x v="0"/>
          </reference>
          <reference field="12" count="1" selected="0">
            <x v="1"/>
          </reference>
        </references>
      </pivotArea>
    </chartFormat>
    <chartFormat chart="30" format="0" series="1">
      <pivotArea type="data" outline="0" fieldPosition="0">
        <references count="2">
          <reference field="4294967294" count="1" selected="0">
            <x v="0"/>
          </reference>
          <reference field="12" count="1" selected="0">
            <x v="0"/>
          </reference>
        </references>
      </pivotArea>
    </chartFormat>
    <chartFormat chart="30" format="1" series="1">
      <pivotArea type="data" outline="0" fieldPosition="0">
        <references count="2">
          <reference field="4294967294" count="1" selected="0">
            <x v="0"/>
          </reference>
          <reference field="12" count="1" selected="0">
            <x v="1"/>
          </reference>
        </references>
      </pivotArea>
    </chartFormat>
    <chartFormat chart="31" format="0" series="1">
      <pivotArea type="data" outline="0" fieldPosition="0">
        <references count="2">
          <reference field="4294967294" count="1" selected="0">
            <x v="0"/>
          </reference>
          <reference field="12" count="1" selected="0">
            <x v="0"/>
          </reference>
        </references>
      </pivotArea>
    </chartFormat>
    <chartFormat chart="31" format="1" series="1">
      <pivotArea type="data" outline="0" fieldPosition="0">
        <references count="2">
          <reference field="4294967294" count="1" selected="0">
            <x v="0"/>
          </reference>
          <reference field="12" count="1" selected="0">
            <x v="1"/>
          </reference>
        </references>
      </pivotArea>
    </chartFormat>
    <chartFormat chart="32" format="0" series="1">
      <pivotArea type="data" outline="0" fieldPosition="0">
        <references count="2">
          <reference field="4294967294" count="1" selected="0">
            <x v="0"/>
          </reference>
          <reference field="12" count="1" selected="0">
            <x v="0"/>
          </reference>
        </references>
      </pivotArea>
    </chartFormat>
    <chartFormat chart="32" format="1" series="1">
      <pivotArea type="data" outline="0" fieldPosition="0">
        <references count="2">
          <reference field="4294967294" count="1" selected="0">
            <x v="0"/>
          </reference>
          <reference field="12" count="1" selected="0">
            <x v="1"/>
          </reference>
        </references>
      </pivotArea>
    </chartFormat>
    <chartFormat chart="35" format="0" series="1">
      <pivotArea type="data" outline="0" fieldPosition="0">
        <references count="2">
          <reference field="4294967294" count="1" selected="0">
            <x v="0"/>
          </reference>
          <reference field="12" count="1" selected="0">
            <x v="0"/>
          </reference>
        </references>
      </pivotArea>
    </chartFormat>
    <chartFormat chart="35" format="1" series="1">
      <pivotArea type="data" outline="0" fieldPosition="0">
        <references count="2">
          <reference field="4294967294" count="1" selected="0">
            <x v="0"/>
          </reference>
          <reference field="12" count="1" selected="0">
            <x v="1"/>
          </reference>
        </references>
      </pivotArea>
    </chartFormat>
    <chartFormat chart="36" format="0" series="1">
      <pivotArea type="data" outline="0" fieldPosition="0">
        <references count="2">
          <reference field="4294967294" count="1" selected="0">
            <x v="0"/>
          </reference>
          <reference field="12" count="1" selected="0">
            <x v="0"/>
          </reference>
        </references>
      </pivotArea>
    </chartFormat>
    <chartFormat chart="36" format="1" series="1">
      <pivotArea type="data" outline="0" fieldPosition="0">
        <references count="2">
          <reference field="4294967294" count="1" selected="0">
            <x v="0"/>
          </reference>
          <reference field="12" count="1" selected="0">
            <x v="1"/>
          </reference>
        </references>
      </pivotArea>
    </chartFormat>
    <chartFormat chart="37" format="0" series="1">
      <pivotArea type="data" outline="0" fieldPosition="0">
        <references count="2">
          <reference field="4294967294" count="1" selected="0">
            <x v="0"/>
          </reference>
          <reference field="12" count="1" selected="0">
            <x v="0"/>
          </reference>
        </references>
      </pivotArea>
    </chartFormat>
    <chartFormat chart="37" format="1" series="1">
      <pivotArea type="data" outline="0" fieldPosition="0">
        <references count="2">
          <reference field="4294967294" count="1" selected="0">
            <x v="0"/>
          </reference>
          <reference field="12" count="1" selected="0">
            <x v="1"/>
          </reference>
        </references>
      </pivotArea>
    </chartFormat>
    <chartFormat chart="38" format="0" series="1">
      <pivotArea type="data" outline="0" fieldPosition="0">
        <references count="2">
          <reference field="4294967294" count="1" selected="0">
            <x v="0"/>
          </reference>
          <reference field="12" count="1" selected="0">
            <x v="0"/>
          </reference>
        </references>
      </pivotArea>
    </chartFormat>
    <chartFormat chart="38" format="1" series="1">
      <pivotArea type="data" outline="0" fieldPosition="0">
        <references count="2">
          <reference field="4294967294" count="1" selected="0">
            <x v="0"/>
          </reference>
          <reference field="12" count="1" selected="0">
            <x v="1"/>
          </reference>
        </references>
      </pivotArea>
    </chartFormat>
    <chartFormat chart="39" format="0" series="1">
      <pivotArea type="data" outline="0" fieldPosition="0">
        <references count="2">
          <reference field="4294967294" count="1" selected="0">
            <x v="0"/>
          </reference>
          <reference field="12" count="1" selected="0">
            <x v="0"/>
          </reference>
        </references>
      </pivotArea>
    </chartFormat>
    <chartFormat chart="39" format="1" series="1">
      <pivotArea type="data" outline="0" fieldPosition="0">
        <references count="2">
          <reference field="4294967294" count="1" selected="0">
            <x v="0"/>
          </reference>
          <reference field="12" count="1" selected="0">
            <x v="1"/>
          </reference>
        </references>
      </pivotArea>
    </chartFormat>
    <chartFormat chart="40" format="0" series="1">
      <pivotArea type="data" outline="0" fieldPosition="0">
        <references count="2">
          <reference field="4294967294" count="1" selected="0">
            <x v="0"/>
          </reference>
          <reference field="12" count="1" selected="0">
            <x v="0"/>
          </reference>
        </references>
      </pivotArea>
    </chartFormat>
    <chartFormat chart="40" format="1" series="1">
      <pivotArea type="data" outline="0" fieldPosition="0">
        <references count="2">
          <reference field="4294967294" count="1" selected="0">
            <x v="0"/>
          </reference>
          <reference field="12" count="1" selected="0">
            <x v="1"/>
          </reference>
        </references>
      </pivotArea>
    </chartFormat>
    <chartFormat chart="41" format="0" series="1">
      <pivotArea type="data" outline="0" fieldPosition="0">
        <references count="2">
          <reference field="4294967294" count="1" selected="0">
            <x v="0"/>
          </reference>
          <reference field="12" count="1" selected="0">
            <x v="0"/>
          </reference>
        </references>
      </pivotArea>
    </chartFormat>
    <chartFormat chart="41" format="1" series="1">
      <pivotArea type="data" outline="0" fieldPosition="0">
        <references count="2">
          <reference field="4294967294" count="1" selected="0">
            <x v="0"/>
          </reference>
          <reference field="12" count="1" selected="0">
            <x v="1"/>
          </reference>
        </references>
      </pivotArea>
    </chartFormat>
    <chartFormat chart="42" format="0" series="1">
      <pivotArea type="data" outline="0" fieldPosition="0">
        <references count="2">
          <reference field="4294967294" count="1" selected="0">
            <x v="0"/>
          </reference>
          <reference field="12" count="1" selected="0">
            <x v="0"/>
          </reference>
        </references>
      </pivotArea>
    </chartFormat>
    <chartFormat chart="42" format="1" series="1">
      <pivotArea type="data" outline="0" fieldPosition="0">
        <references count="2">
          <reference field="4294967294" count="1" selected="0">
            <x v="0"/>
          </reference>
          <reference field="12" count="1" selected="0">
            <x v="1"/>
          </reference>
        </references>
      </pivotArea>
    </chartFormat>
    <chartFormat chart="43" format="0" series="1">
      <pivotArea type="data" outline="0" fieldPosition="0">
        <references count="2">
          <reference field="4294967294" count="1" selected="0">
            <x v="0"/>
          </reference>
          <reference field="12" count="1" selected="0">
            <x v="0"/>
          </reference>
        </references>
      </pivotArea>
    </chartFormat>
    <chartFormat chart="43" format="1" series="1">
      <pivotArea type="data" outline="0" fieldPosition="0">
        <references count="2">
          <reference field="4294967294" count="1" selected="0">
            <x v="0"/>
          </reference>
          <reference field="12" count="1" selected="0">
            <x v="1"/>
          </reference>
        </references>
      </pivotArea>
    </chartFormat>
    <chartFormat chart="44" format="0" series="1">
      <pivotArea type="data" outline="0" fieldPosition="0">
        <references count="2">
          <reference field="4294967294" count="1" selected="0">
            <x v="0"/>
          </reference>
          <reference field="12" count="1" selected="0">
            <x v="0"/>
          </reference>
        </references>
      </pivotArea>
    </chartFormat>
    <chartFormat chart="44" format="1" series="1">
      <pivotArea type="data" outline="0" fieldPosition="0">
        <references count="2">
          <reference field="4294967294" count="1" selected="0">
            <x v="0"/>
          </reference>
          <reference field="12" count="1" selected="0">
            <x v="1"/>
          </reference>
        </references>
      </pivotArea>
    </chartFormat>
    <chartFormat chart="46" format="0" series="1">
      <pivotArea type="data" outline="0" fieldPosition="0">
        <references count="2">
          <reference field="4294967294" count="1" selected="0">
            <x v="0"/>
          </reference>
          <reference field="12" count="1" selected="0">
            <x v="0"/>
          </reference>
        </references>
      </pivotArea>
    </chartFormat>
    <chartFormat chart="46" format="1" series="1">
      <pivotArea type="data" outline="0" fieldPosition="0">
        <references count="2">
          <reference field="4294967294" count="1" selected="0">
            <x v="0"/>
          </reference>
          <reference field="12" count="1" selected="0">
            <x v="1"/>
          </reference>
        </references>
      </pivotArea>
    </chartFormat>
    <chartFormat chart="47" format="0" series="1">
      <pivotArea type="data" outline="0" fieldPosition="0">
        <references count="2">
          <reference field="4294967294" count="1" selected="0">
            <x v="0"/>
          </reference>
          <reference field="12" count="1" selected="0">
            <x v="0"/>
          </reference>
        </references>
      </pivotArea>
    </chartFormat>
    <chartFormat chart="47" format="1" series="1">
      <pivotArea type="data" outline="0" fieldPosition="0">
        <references count="2">
          <reference field="4294967294" count="1" selected="0">
            <x v="0"/>
          </reference>
          <reference field="12" count="1" selected="0">
            <x v="1"/>
          </reference>
        </references>
      </pivotArea>
    </chartFormat>
    <chartFormat chart="48" format="0" series="1">
      <pivotArea type="data" outline="0" fieldPosition="0">
        <references count="2">
          <reference field="4294967294" count="1" selected="0">
            <x v="0"/>
          </reference>
          <reference field="12" count="1" selected="0">
            <x v="0"/>
          </reference>
        </references>
      </pivotArea>
    </chartFormat>
    <chartFormat chart="48" format="1" series="1">
      <pivotArea type="data" outline="0" fieldPosition="0">
        <references count="2">
          <reference field="4294967294" count="1" selected="0">
            <x v="0"/>
          </reference>
          <reference field="12" count="1" selected="0">
            <x v="1"/>
          </reference>
        </references>
      </pivotArea>
    </chartFormat>
    <chartFormat chart="49" format="0" series="1">
      <pivotArea type="data" outline="0" fieldPosition="0">
        <references count="2">
          <reference field="4294967294" count="1" selected="0">
            <x v="0"/>
          </reference>
          <reference field="12" count="1" selected="0">
            <x v="0"/>
          </reference>
        </references>
      </pivotArea>
    </chartFormat>
    <chartFormat chart="49" format="1" series="1">
      <pivotArea type="data" outline="0" fieldPosition="0">
        <references count="2">
          <reference field="4294967294" count="1" selected="0">
            <x v="0"/>
          </reference>
          <reference field="12" count="1" selected="0">
            <x v="1"/>
          </reference>
        </references>
      </pivotArea>
    </chartFormat>
    <chartFormat chart="50" format="0" series="1">
      <pivotArea type="data" outline="0" fieldPosition="0">
        <references count="2">
          <reference field="4294967294" count="1" selected="0">
            <x v="0"/>
          </reference>
          <reference field="12" count="1" selected="0">
            <x v="0"/>
          </reference>
        </references>
      </pivotArea>
    </chartFormat>
    <chartFormat chart="50" format="1" series="1">
      <pivotArea type="data" outline="0" fieldPosition="0">
        <references count="2">
          <reference field="4294967294" count="1" selected="0">
            <x v="0"/>
          </reference>
          <reference field="12" count="1" selected="0">
            <x v="1"/>
          </reference>
        </references>
      </pivotArea>
    </chartFormat>
    <chartFormat chart="51" format="0" series="1">
      <pivotArea type="data" outline="0" fieldPosition="0">
        <references count="2">
          <reference field="4294967294" count="1" selected="0">
            <x v="0"/>
          </reference>
          <reference field="12" count="1" selected="0">
            <x v="0"/>
          </reference>
        </references>
      </pivotArea>
    </chartFormat>
    <chartFormat chart="51" format="1" series="1">
      <pivotArea type="data" outline="0" fieldPosition="0">
        <references count="2">
          <reference field="4294967294" count="1" selected="0">
            <x v="0"/>
          </reference>
          <reference field="12" count="1" selected="0">
            <x v="1"/>
          </reference>
        </references>
      </pivotArea>
    </chartFormat>
    <chartFormat chart="52" format="0" series="1">
      <pivotArea type="data" outline="0" fieldPosition="0">
        <references count="2">
          <reference field="4294967294" count="1" selected="0">
            <x v="0"/>
          </reference>
          <reference field="12" count="1" selected="0">
            <x v="0"/>
          </reference>
        </references>
      </pivotArea>
    </chartFormat>
    <chartFormat chart="52" format="1" series="1">
      <pivotArea type="data" outline="0" fieldPosition="0">
        <references count="2">
          <reference field="4294967294" count="1" selected="0">
            <x v="0"/>
          </reference>
          <reference field="12" count="1" selected="0">
            <x v="1"/>
          </reference>
        </references>
      </pivotArea>
    </chartFormat>
    <chartFormat chart="53" format="0" series="1">
      <pivotArea type="data" outline="0" fieldPosition="0">
        <references count="2">
          <reference field="4294967294" count="1" selected="0">
            <x v="0"/>
          </reference>
          <reference field="12" count="1" selected="0">
            <x v="0"/>
          </reference>
        </references>
      </pivotArea>
    </chartFormat>
    <chartFormat chart="53" format="1" series="1">
      <pivotArea type="data" outline="0" fieldPosition="0">
        <references count="2">
          <reference field="4294967294" count="1" selected="0">
            <x v="0"/>
          </reference>
          <reference field="12" count="1" selected="0">
            <x v="1"/>
          </reference>
        </references>
      </pivotArea>
    </chartFormat>
    <chartFormat chart="54" format="0" series="1">
      <pivotArea type="data" outline="0" fieldPosition="0">
        <references count="2">
          <reference field="4294967294" count="1" selected="0">
            <x v="0"/>
          </reference>
          <reference field="12" count="1" selected="0">
            <x v="0"/>
          </reference>
        </references>
      </pivotArea>
    </chartFormat>
    <chartFormat chart="54" format="1" series="1">
      <pivotArea type="data" outline="0" fieldPosition="0">
        <references count="2">
          <reference field="4294967294" count="1" selected="0">
            <x v="0"/>
          </reference>
          <reference field="12" count="1" selected="0">
            <x v="1"/>
          </reference>
        </references>
      </pivotArea>
    </chartFormat>
    <chartFormat chart="55" format="0" series="1">
      <pivotArea type="data" outline="0" fieldPosition="0">
        <references count="2">
          <reference field="4294967294" count="1" selected="0">
            <x v="0"/>
          </reference>
          <reference field="12" count="1" selected="0">
            <x v="1"/>
          </reference>
        </references>
      </pivotArea>
    </chartFormat>
    <chartFormat chart="55" format="1" series="1">
      <pivotArea type="data" outline="0" fieldPosition="0">
        <references count="2">
          <reference field="4294967294" count="1" selected="0">
            <x v="0"/>
          </reference>
          <reference field="12" count="1" selected="0">
            <x v="0"/>
          </reference>
        </references>
      </pivotArea>
    </chartFormat>
    <chartFormat chart="55" format="2">
      <pivotArea type="data" outline="0" fieldPosition="0">
        <references count="3">
          <reference field="4294967294" count="1" selected="0">
            <x v="0"/>
          </reference>
          <reference field="8" count="1" selected="0">
            <x v="0"/>
          </reference>
          <reference field="12" count="1" selected="0">
            <x v="1"/>
          </reference>
        </references>
      </pivotArea>
    </chartFormat>
    <chartFormat chart="55" format="3">
      <pivotArea type="data" outline="0" fieldPosition="0">
        <references count="3">
          <reference field="4294967294" count="1" selected="0">
            <x v="0"/>
          </reference>
          <reference field="8" count="1" selected="0">
            <x v="1"/>
          </reference>
          <reference field="12" count="1" selected="0">
            <x v="1"/>
          </reference>
        </references>
      </pivotArea>
    </chartFormat>
    <chartFormat chart="55" format="4">
      <pivotArea type="data" outline="0" fieldPosition="0">
        <references count="3">
          <reference field="4294967294" count="1" selected="0">
            <x v="0"/>
          </reference>
          <reference field="8" count="1" selected="0">
            <x v="3"/>
          </reference>
          <reference field="12" count="1" selected="0">
            <x v="1"/>
          </reference>
        </references>
      </pivotArea>
    </chartFormat>
    <chartFormat chart="63" format="7" series="1">
      <pivotArea type="data" outline="0" fieldPosition="0">
        <references count="2">
          <reference field="4294967294" count="1" selected="0">
            <x v="0"/>
          </reference>
          <reference field="12" count="1" selected="0">
            <x v="0"/>
          </reference>
        </references>
      </pivotArea>
    </chartFormat>
    <chartFormat chart="63" format="8" series="1">
      <pivotArea type="data" outline="0" fieldPosition="0">
        <references count="2">
          <reference field="4294967294" count="1" selected="0">
            <x v="0"/>
          </reference>
          <reference field="12" count="1" selected="0">
            <x v="1"/>
          </reference>
        </references>
      </pivotArea>
    </chartFormat>
    <chartFormat chart="63" format="9">
      <pivotArea type="data" outline="0" fieldPosition="0">
        <references count="3">
          <reference field="4294967294" count="1" selected="0">
            <x v="0"/>
          </reference>
          <reference field="8" count="1" selected="0">
            <x v="1"/>
          </reference>
          <reference field="12" count="1" selected="0">
            <x v="0"/>
          </reference>
        </references>
      </pivotArea>
    </chartFormat>
    <chartFormat chart="63" format="10">
      <pivotArea type="data" outline="0" fieldPosition="0">
        <references count="3">
          <reference field="4294967294" count="1" selected="0">
            <x v="0"/>
          </reference>
          <reference field="8" count="1" selected="0">
            <x v="3"/>
          </reference>
          <reference field="12" count="1" selected="0">
            <x v="0"/>
          </reference>
        </references>
      </pivotArea>
    </chartFormat>
    <chartFormat chart="63" format="11">
      <pivotArea type="data" outline="0" fieldPosition="0">
        <references count="3">
          <reference field="4294967294" count="1" selected="0">
            <x v="0"/>
          </reference>
          <reference field="8" count="1" selected="0">
            <x v="1"/>
          </reference>
          <reference field="12" count="1" selected="0">
            <x v="1"/>
          </reference>
        </references>
      </pivotArea>
    </chartFormat>
    <chartFormat chart="63" format="12">
      <pivotArea type="data" outline="0" fieldPosition="0">
        <references count="3">
          <reference field="4294967294" count="1" selected="0">
            <x v="0"/>
          </reference>
          <reference field="8" count="1" selected="0">
            <x v="2"/>
          </reference>
          <reference field="12" count="1" selected="0">
            <x v="1"/>
          </reference>
        </references>
      </pivotArea>
    </chartFormat>
    <chartFormat chart="63" format="13">
      <pivotArea type="data" outline="0" fieldPosition="0">
        <references count="3">
          <reference field="4294967294" count="1" selected="0">
            <x v="0"/>
          </reference>
          <reference field="8" count="1" selected="0">
            <x v="3"/>
          </reference>
          <reference field="12" count="1" selected="0">
            <x v="1"/>
          </reference>
        </references>
      </pivotArea>
    </chartFormat>
    <chartFormat chart="63" format="14">
      <pivotArea type="data" outline="0" fieldPosition="0">
        <references count="3">
          <reference field="4294967294" count="1" selected="0">
            <x v="0"/>
          </reference>
          <reference field="8" count="1" selected="0">
            <x v="4"/>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0C00E9-EBDF-4967-9392-159C29A5069F}"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 of Purchased Bike" fld="13" subtotal="count" showDataAs="percentOfRow" baseField="9" baseItem="0" numFmtId="9"/>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C3A525-4E7A-4E0D-BF65-B778A521ABE1}"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11">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309027-FF93-4FA1-9C2C-ED609D3B7B98}"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30C1983-79C7-4D17-9A99-B70BC9989063}" sourceName="Marital Status">
  <pivotTables>
    <pivotTable tabId="3" name="PivotTable1"/>
    <pivotTable tabId="3" name="PivotTable2"/>
    <pivotTable tabId="3" name="PivotTable3"/>
  </pivotTables>
  <data>
    <tabular pivotCacheId="17486692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F500F6-2154-467B-B7F2-02847CC3A734}" sourceName="Education">
  <pivotTables>
    <pivotTable tabId="3" name="PivotTable1"/>
    <pivotTable tabId="3" name="PivotTable2"/>
    <pivotTable tabId="3" name="PivotTable3"/>
  </pivotTables>
  <data>
    <tabular pivotCacheId="174866928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7E4826-754D-4C3A-8543-7FECF0750845}" sourceName="Region">
  <pivotTables>
    <pivotTable tabId="3" name="PivotTable1"/>
    <pivotTable tabId="3" name="PivotTable2"/>
    <pivotTable tabId="3" name="PivotTable3"/>
  </pivotTables>
  <data>
    <tabular pivotCacheId="17486692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E978FDE-0328-4E64-8DCA-4DFBF8420F3B}" cache="Slicer_Marital_Status" caption="Marital Status" style="SlicerStyleLight6" rowHeight="234950"/>
  <slicer name="Education" xr10:uid="{82974F55-B657-4717-8715-BA578501FA69}" cache="Slicer_Education" caption="Education" style="SlicerStyleLight6" rowHeight="234950"/>
  <slicer name="Region" xr10:uid="{67FAC0F7-CA9E-4580-9936-653DB895E5AF}" cache="Slicer_Region" caption="Region" style="SlicerStyleLight6"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pane ySplit="1" topLeftCell="A2" activePane="bottomLeft" state="frozen"/>
      <selection pane="bottomLeft" activeCell="M1" sqref="M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D85F-9FFF-4890-A243-7E2DFBBCD570}">
  <sheetPr filterMode="1"/>
  <dimension ref="A1:N1001"/>
  <sheetViews>
    <sheetView topLeftCell="D1" workbookViewId="0">
      <selection activeCell="M2" sqref="M2"/>
    </sheetView>
  </sheetViews>
  <sheetFormatPr defaultColWidth="11.88671875" defaultRowHeight="14.4" x14ac:dyDescent="0.3"/>
  <cols>
    <col min="1" max="1" width="14.5546875" customWidth="1"/>
    <col min="2" max="2" width="16" customWidth="1"/>
    <col min="3" max="3" width="13" customWidth="1"/>
    <col min="4" max="4" width="15.44140625" style="3" customWidth="1"/>
    <col min="6" max="6" width="19.77734375" customWidth="1"/>
    <col min="7" max="7" width="17.77734375" customWidth="1"/>
    <col min="10" max="10" width="17.77734375" customWidth="1"/>
    <col min="13" max="13" width="15.8867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Stage",IF(L2&lt;31,"Adolescnt","Invalid")))</f>
        <v>Middle Stage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Stage",IF(L3&lt;31,"Adolescnt","Invalid")))</f>
        <v>Middle Stage</v>
      </c>
      <c r="N3" t="s">
        <v>18</v>
      </c>
    </row>
    <row r="4" spans="1:14" hidden="1"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Stage</v>
      </c>
      <c r="N5" t="s">
        <v>15</v>
      </c>
    </row>
    <row r="6" spans="1:14" x14ac:dyDescent="0.3">
      <c r="A6">
        <v>25597</v>
      </c>
      <c r="B6" t="s">
        <v>37</v>
      </c>
      <c r="C6" t="s">
        <v>39</v>
      </c>
      <c r="D6" s="3">
        <v>30000</v>
      </c>
      <c r="E6">
        <v>0</v>
      </c>
      <c r="F6" t="s">
        <v>13</v>
      </c>
      <c r="G6" t="s">
        <v>20</v>
      </c>
      <c r="H6" t="s">
        <v>18</v>
      </c>
      <c r="I6">
        <v>0</v>
      </c>
      <c r="J6" t="s">
        <v>16</v>
      </c>
      <c r="K6" t="s">
        <v>17</v>
      </c>
      <c r="L6">
        <v>36</v>
      </c>
      <c r="M6" t="str">
        <f t="shared" si="0"/>
        <v>Middle Stage</v>
      </c>
      <c r="N6" t="s">
        <v>15</v>
      </c>
    </row>
    <row r="7" spans="1:14" x14ac:dyDescent="0.3">
      <c r="A7">
        <v>13507</v>
      </c>
      <c r="B7" t="s">
        <v>36</v>
      </c>
      <c r="C7" t="s">
        <v>38</v>
      </c>
      <c r="D7" s="3">
        <v>10000</v>
      </c>
      <c r="E7">
        <v>2</v>
      </c>
      <c r="F7" t="s">
        <v>19</v>
      </c>
      <c r="G7" t="s">
        <v>25</v>
      </c>
      <c r="H7" t="s">
        <v>15</v>
      </c>
      <c r="I7">
        <v>0</v>
      </c>
      <c r="J7" t="s">
        <v>26</v>
      </c>
      <c r="K7" t="s">
        <v>17</v>
      </c>
      <c r="L7">
        <v>50</v>
      </c>
      <c r="M7" t="str">
        <f t="shared" si="0"/>
        <v>Middle Stage</v>
      </c>
      <c r="N7" t="s">
        <v>18</v>
      </c>
    </row>
    <row r="8" spans="1:14" x14ac:dyDescent="0.3">
      <c r="A8">
        <v>27974</v>
      </c>
      <c r="B8" t="s">
        <v>37</v>
      </c>
      <c r="C8" t="s">
        <v>39</v>
      </c>
      <c r="D8" s="3">
        <v>160000</v>
      </c>
      <c r="E8">
        <v>2</v>
      </c>
      <c r="F8" t="s">
        <v>27</v>
      </c>
      <c r="G8" t="s">
        <v>28</v>
      </c>
      <c r="H8" t="s">
        <v>15</v>
      </c>
      <c r="I8">
        <v>4</v>
      </c>
      <c r="J8" t="s">
        <v>16</v>
      </c>
      <c r="K8" t="s">
        <v>24</v>
      </c>
      <c r="L8">
        <v>33</v>
      </c>
      <c r="M8" t="str">
        <f t="shared" si="0"/>
        <v>Middle Stage</v>
      </c>
      <c r="N8" t="s">
        <v>15</v>
      </c>
    </row>
    <row r="9" spans="1:14" x14ac:dyDescent="0.3">
      <c r="A9">
        <v>19364</v>
      </c>
      <c r="B9" t="s">
        <v>36</v>
      </c>
      <c r="C9" t="s">
        <v>39</v>
      </c>
      <c r="D9" s="3">
        <v>40000</v>
      </c>
      <c r="E9">
        <v>1</v>
      </c>
      <c r="F9" t="s">
        <v>13</v>
      </c>
      <c r="G9" t="s">
        <v>14</v>
      </c>
      <c r="H9" t="s">
        <v>15</v>
      </c>
      <c r="I9">
        <v>0</v>
      </c>
      <c r="J9" t="s">
        <v>16</v>
      </c>
      <c r="K9" t="s">
        <v>17</v>
      </c>
      <c r="L9">
        <v>43</v>
      </c>
      <c r="M9" t="str">
        <f t="shared" si="0"/>
        <v>Middle Stage</v>
      </c>
      <c r="N9" t="s">
        <v>15</v>
      </c>
    </row>
    <row r="10" spans="1:14" hidden="1"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Stage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Stage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Stage</v>
      </c>
      <c r="N13" t="s">
        <v>18</v>
      </c>
    </row>
    <row r="14" spans="1:14" hidden="1"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Stage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Stage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Stage</v>
      </c>
      <c r="N17" t="s">
        <v>15</v>
      </c>
    </row>
    <row r="18" spans="1:14" hidden="1"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Stage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Stage</v>
      </c>
      <c r="N20" t="s">
        <v>15</v>
      </c>
    </row>
    <row r="21" spans="1:14" hidden="1"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Stage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Stage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Stage</v>
      </c>
      <c r="N24" t="s">
        <v>15</v>
      </c>
    </row>
    <row r="25" spans="1:14" hidden="1"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Stage</v>
      </c>
      <c r="N26" t="s">
        <v>18</v>
      </c>
    </row>
    <row r="27" spans="1:14" hidden="1"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hidden="1" x14ac:dyDescent="0.3">
      <c r="A28">
        <v>17841</v>
      </c>
      <c r="B28" t="s">
        <v>37</v>
      </c>
      <c r="C28" t="s">
        <v>39</v>
      </c>
      <c r="D28" s="3">
        <v>30000</v>
      </c>
      <c r="E28">
        <v>0</v>
      </c>
      <c r="F28" t="s">
        <v>19</v>
      </c>
      <c r="G28" t="s">
        <v>20</v>
      </c>
      <c r="H28" t="s">
        <v>18</v>
      </c>
      <c r="I28">
        <v>1</v>
      </c>
      <c r="J28" t="s">
        <v>16</v>
      </c>
      <c r="K28" t="s">
        <v>17</v>
      </c>
      <c r="L28">
        <v>29</v>
      </c>
      <c r="M28" t="str">
        <f t="shared" si="0"/>
        <v>Adolescnt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Stage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Stage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Stage</v>
      </c>
      <c r="N31" t="s">
        <v>15</v>
      </c>
    </row>
    <row r="32" spans="1:14" hidden="1"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hidden="1" x14ac:dyDescent="0.3">
      <c r="A33">
        <v>22400</v>
      </c>
      <c r="B33" t="s">
        <v>36</v>
      </c>
      <c r="C33" t="s">
        <v>39</v>
      </c>
      <c r="D33" s="3">
        <v>10000</v>
      </c>
      <c r="E33">
        <v>0</v>
      </c>
      <c r="F33" t="s">
        <v>19</v>
      </c>
      <c r="G33" t="s">
        <v>25</v>
      </c>
      <c r="H33" t="s">
        <v>18</v>
      </c>
      <c r="I33">
        <v>1</v>
      </c>
      <c r="J33" t="s">
        <v>16</v>
      </c>
      <c r="K33" t="s">
        <v>24</v>
      </c>
      <c r="L33">
        <v>26</v>
      </c>
      <c r="M33" t="str">
        <f t="shared" si="0"/>
        <v>Adolescnt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Stage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Stage</v>
      </c>
      <c r="N35" t="s">
        <v>15</v>
      </c>
    </row>
    <row r="36" spans="1:14" hidden="1"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Stage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Stage</v>
      </c>
      <c r="N38" t="s">
        <v>15</v>
      </c>
    </row>
    <row r="39" spans="1:14" hidden="1" x14ac:dyDescent="0.3">
      <c r="A39">
        <v>27832</v>
      </c>
      <c r="B39" t="s">
        <v>37</v>
      </c>
      <c r="C39" t="s">
        <v>38</v>
      </c>
      <c r="D39" s="3">
        <v>30000</v>
      </c>
      <c r="E39">
        <v>0</v>
      </c>
      <c r="F39" t="s">
        <v>19</v>
      </c>
      <c r="G39" t="s">
        <v>20</v>
      </c>
      <c r="H39" t="s">
        <v>18</v>
      </c>
      <c r="I39">
        <v>1</v>
      </c>
      <c r="J39" t="s">
        <v>22</v>
      </c>
      <c r="K39" t="s">
        <v>17</v>
      </c>
      <c r="L39">
        <v>30</v>
      </c>
      <c r="M39" t="str">
        <f t="shared" si="0"/>
        <v>Adolescnt</v>
      </c>
      <c r="N39" t="s">
        <v>18</v>
      </c>
    </row>
    <row r="40" spans="1:14" hidden="1" x14ac:dyDescent="0.3">
      <c r="A40">
        <v>26863</v>
      </c>
      <c r="B40" t="s">
        <v>37</v>
      </c>
      <c r="C40" t="s">
        <v>39</v>
      </c>
      <c r="D40" s="3">
        <v>20000</v>
      </c>
      <c r="E40">
        <v>0</v>
      </c>
      <c r="F40" t="s">
        <v>27</v>
      </c>
      <c r="G40" t="s">
        <v>25</v>
      </c>
      <c r="H40" t="s">
        <v>18</v>
      </c>
      <c r="I40">
        <v>1</v>
      </c>
      <c r="J40" t="s">
        <v>22</v>
      </c>
      <c r="K40" t="s">
        <v>17</v>
      </c>
      <c r="L40">
        <v>28</v>
      </c>
      <c r="M40" t="str">
        <f t="shared" si="0"/>
        <v>Adolescnt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Stage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Stage</v>
      </c>
      <c r="N42" t="s">
        <v>18</v>
      </c>
    </row>
    <row r="43" spans="1:14" hidden="1"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Stage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Stage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Stage</v>
      </c>
      <c r="N46" t="s">
        <v>15</v>
      </c>
    </row>
    <row r="47" spans="1:14" hidden="1"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Stage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Stage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Stage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Stage</v>
      </c>
      <c r="N51" t="s">
        <v>15</v>
      </c>
    </row>
    <row r="52" spans="1:14" hidden="1" x14ac:dyDescent="0.3">
      <c r="A52">
        <v>13826</v>
      </c>
      <c r="B52" t="s">
        <v>37</v>
      </c>
      <c r="C52" t="s">
        <v>38</v>
      </c>
      <c r="D52" s="3">
        <v>30000</v>
      </c>
      <c r="E52">
        <v>0</v>
      </c>
      <c r="F52" t="s">
        <v>19</v>
      </c>
      <c r="G52" t="s">
        <v>20</v>
      </c>
      <c r="H52" t="s">
        <v>18</v>
      </c>
      <c r="I52">
        <v>1</v>
      </c>
      <c r="J52" t="s">
        <v>16</v>
      </c>
      <c r="K52" t="s">
        <v>17</v>
      </c>
      <c r="L52">
        <v>28</v>
      </c>
      <c r="M52" t="str">
        <f t="shared" si="0"/>
        <v>Adolescnt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Stage</v>
      </c>
      <c r="N53" t="s">
        <v>18</v>
      </c>
    </row>
    <row r="54" spans="1:14" hidden="1"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hidden="1"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Stage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Stage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Stage</v>
      </c>
      <c r="N58" t="s">
        <v>15</v>
      </c>
    </row>
    <row r="59" spans="1:14" hidden="1"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Stage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Stage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Stage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Stage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Stage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Stage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Stage</v>
      </c>
      <c r="N66" t="s">
        <v>15</v>
      </c>
    </row>
    <row r="67" spans="1:14" hidden="1" x14ac:dyDescent="0.3">
      <c r="A67">
        <v>29337</v>
      </c>
      <c r="B67" t="s">
        <v>37</v>
      </c>
      <c r="C67" t="s">
        <v>39</v>
      </c>
      <c r="D67" s="3">
        <v>30000</v>
      </c>
      <c r="E67">
        <v>2</v>
      </c>
      <c r="F67" t="s">
        <v>19</v>
      </c>
      <c r="G67" t="s">
        <v>20</v>
      </c>
      <c r="H67" t="s">
        <v>15</v>
      </c>
      <c r="I67">
        <v>2</v>
      </c>
      <c r="J67" t="s">
        <v>23</v>
      </c>
      <c r="K67" t="s">
        <v>24</v>
      </c>
      <c r="L67">
        <v>68</v>
      </c>
      <c r="M67" t="str">
        <f t="shared" ref="M67:M130" si="1">IF(L67&gt;54,"Old",IF(L67&gt;=31,"Middle Stage",IF(L67&lt;31,"Adolescnt","Invalid")))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Stage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Stage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Stage</v>
      </c>
      <c r="N70" t="s">
        <v>15</v>
      </c>
    </row>
    <row r="71" spans="1:14" hidden="1" x14ac:dyDescent="0.3">
      <c r="A71">
        <v>16438</v>
      </c>
      <c r="B71" t="s">
        <v>36</v>
      </c>
      <c r="C71" t="s">
        <v>38</v>
      </c>
      <c r="D71" s="3">
        <v>10000</v>
      </c>
      <c r="E71">
        <v>0</v>
      </c>
      <c r="F71" t="s">
        <v>29</v>
      </c>
      <c r="G71" t="s">
        <v>25</v>
      </c>
      <c r="H71" t="s">
        <v>18</v>
      </c>
      <c r="I71">
        <v>2</v>
      </c>
      <c r="J71" t="s">
        <v>16</v>
      </c>
      <c r="K71" t="s">
        <v>17</v>
      </c>
      <c r="L71">
        <v>30</v>
      </c>
      <c r="M71" t="str">
        <f t="shared" si="1"/>
        <v>Adolescnt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Stage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Stage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Stage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Stage</v>
      </c>
      <c r="N75" t="s">
        <v>15</v>
      </c>
    </row>
    <row r="76" spans="1:14" hidden="1"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Stage</v>
      </c>
      <c r="N77" t="s">
        <v>18</v>
      </c>
    </row>
    <row r="78" spans="1:14" hidden="1" x14ac:dyDescent="0.3">
      <c r="A78">
        <v>16188</v>
      </c>
      <c r="B78" t="s">
        <v>37</v>
      </c>
      <c r="C78" t="s">
        <v>38</v>
      </c>
      <c r="D78" s="3">
        <v>20000</v>
      </c>
      <c r="E78">
        <v>0</v>
      </c>
      <c r="F78" t="s">
        <v>29</v>
      </c>
      <c r="G78" t="s">
        <v>25</v>
      </c>
      <c r="H78" t="s">
        <v>18</v>
      </c>
      <c r="I78">
        <v>2</v>
      </c>
      <c r="J78" t="s">
        <v>26</v>
      </c>
      <c r="K78" t="s">
        <v>17</v>
      </c>
      <c r="L78">
        <v>26</v>
      </c>
      <c r="M78" t="str">
        <f t="shared" si="1"/>
        <v>Adolescnt</v>
      </c>
      <c r="N78" t="s">
        <v>18</v>
      </c>
    </row>
    <row r="79" spans="1:14" hidden="1" x14ac:dyDescent="0.3">
      <c r="A79">
        <v>27969</v>
      </c>
      <c r="B79" t="s">
        <v>36</v>
      </c>
      <c r="C79" t="s">
        <v>39</v>
      </c>
      <c r="D79" s="3">
        <v>80000</v>
      </c>
      <c r="E79">
        <v>0</v>
      </c>
      <c r="F79" t="s">
        <v>13</v>
      </c>
      <c r="G79" t="s">
        <v>21</v>
      </c>
      <c r="H79" t="s">
        <v>15</v>
      </c>
      <c r="I79">
        <v>2</v>
      </c>
      <c r="J79" t="s">
        <v>46</v>
      </c>
      <c r="K79" t="s">
        <v>24</v>
      </c>
      <c r="L79">
        <v>29</v>
      </c>
      <c r="M79" t="str">
        <f t="shared" si="1"/>
        <v>Adolescnt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Stage</v>
      </c>
      <c r="N80" t="s">
        <v>15</v>
      </c>
    </row>
    <row r="81" spans="1:14" hidden="1"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Stage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Stage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Stage</v>
      </c>
      <c r="N84" t="s">
        <v>15</v>
      </c>
    </row>
    <row r="85" spans="1:14" hidden="1" x14ac:dyDescent="0.3">
      <c r="A85">
        <v>28412</v>
      </c>
      <c r="B85" t="s">
        <v>37</v>
      </c>
      <c r="C85" t="s">
        <v>39</v>
      </c>
      <c r="D85" s="3">
        <v>20000</v>
      </c>
      <c r="E85">
        <v>0</v>
      </c>
      <c r="F85" t="s">
        <v>27</v>
      </c>
      <c r="G85" t="s">
        <v>25</v>
      </c>
      <c r="H85" t="s">
        <v>18</v>
      </c>
      <c r="I85">
        <v>1</v>
      </c>
      <c r="J85" t="s">
        <v>22</v>
      </c>
      <c r="K85" t="s">
        <v>17</v>
      </c>
      <c r="L85">
        <v>29</v>
      </c>
      <c r="M85" t="str">
        <f t="shared" si="1"/>
        <v>Adolescnt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Stage</v>
      </c>
      <c r="N86" t="s">
        <v>15</v>
      </c>
    </row>
    <row r="87" spans="1:14" hidden="1" x14ac:dyDescent="0.3">
      <c r="A87">
        <v>16514</v>
      </c>
      <c r="B87" t="s">
        <v>37</v>
      </c>
      <c r="C87" t="s">
        <v>39</v>
      </c>
      <c r="D87" s="3">
        <v>10000</v>
      </c>
      <c r="E87">
        <v>0</v>
      </c>
      <c r="F87" t="s">
        <v>19</v>
      </c>
      <c r="G87" t="s">
        <v>25</v>
      </c>
      <c r="H87" t="s">
        <v>15</v>
      </c>
      <c r="I87">
        <v>1</v>
      </c>
      <c r="J87" t="s">
        <v>26</v>
      </c>
      <c r="K87" t="s">
        <v>24</v>
      </c>
      <c r="L87">
        <v>26</v>
      </c>
      <c r="M87" t="str">
        <f t="shared" si="1"/>
        <v>Adolescnt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Stage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Stage</v>
      </c>
      <c r="N89" t="s">
        <v>18</v>
      </c>
    </row>
    <row r="90" spans="1:14" hidden="1" x14ac:dyDescent="0.3">
      <c r="A90">
        <v>24119</v>
      </c>
      <c r="B90" t="s">
        <v>37</v>
      </c>
      <c r="C90" t="s">
        <v>39</v>
      </c>
      <c r="D90" s="3">
        <v>30000</v>
      </c>
      <c r="E90">
        <v>0</v>
      </c>
      <c r="F90" t="s">
        <v>19</v>
      </c>
      <c r="G90" t="s">
        <v>20</v>
      </c>
      <c r="H90" t="s">
        <v>18</v>
      </c>
      <c r="I90">
        <v>1</v>
      </c>
      <c r="J90" t="s">
        <v>22</v>
      </c>
      <c r="K90" t="s">
        <v>17</v>
      </c>
      <c r="L90">
        <v>29</v>
      </c>
      <c r="M90" t="str">
        <f t="shared" si="1"/>
        <v>Adolescnt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Stage</v>
      </c>
      <c r="N91" t="s">
        <v>15</v>
      </c>
    </row>
    <row r="92" spans="1:14" hidden="1" x14ac:dyDescent="0.3">
      <c r="A92">
        <v>26886</v>
      </c>
      <c r="B92" t="s">
        <v>37</v>
      </c>
      <c r="C92" t="s">
        <v>38</v>
      </c>
      <c r="D92" s="3">
        <v>30000</v>
      </c>
      <c r="E92">
        <v>0</v>
      </c>
      <c r="F92" t="s">
        <v>19</v>
      </c>
      <c r="G92" t="s">
        <v>20</v>
      </c>
      <c r="H92" t="s">
        <v>18</v>
      </c>
      <c r="I92">
        <v>1</v>
      </c>
      <c r="J92" t="s">
        <v>16</v>
      </c>
      <c r="K92" t="s">
        <v>17</v>
      </c>
      <c r="L92">
        <v>29</v>
      </c>
      <c r="M92" t="str">
        <f t="shared" si="1"/>
        <v>Adolescnt</v>
      </c>
      <c r="N92" t="s">
        <v>15</v>
      </c>
    </row>
    <row r="93" spans="1:14" hidden="1" x14ac:dyDescent="0.3">
      <c r="A93">
        <v>28436</v>
      </c>
      <c r="B93" t="s">
        <v>37</v>
      </c>
      <c r="C93" t="s">
        <v>39</v>
      </c>
      <c r="D93" s="3">
        <v>30000</v>
      </c>
      <c r="E93">
        <v>0</v>
      </c>
      <c r="F93" t="s">
        <v>19</v>
      </c>
      <c r="G93" t="s">
        <v>20</v>
      </c>
      <c r="H93" t="s">
        <v>18</v>
      </c>
      <c r="I93">
        <v>1</v>
      </c>
      <c r="J93" t="s">
        <v>16</v>
      </c>
      <c r="K93" t="s">
        <v>17</v>
      </c>
      <c r="L93">
        <v>30</v>
      </c>
      <c r="M93" t="str">
        <f t="shared" si="1"/>
        <v>Adolescnt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Stage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Stage</v>
      </c>
      <c r="N95" t="s">
        <v>18</v>
      </c>
    </row>
    <row r="96" spans="1:14" hidden="1"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hidden="1"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Stage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Stage</v>
      </c>
      <c r="N99" t="s">
        <v>15</v>
      </c>
    </row>
    <row r="100" spans="1:14" hidden="1" x14ac:dyDescent="0.3">
      <c r="A100">
        <v>19441</v>
      </c>
      <c r="B100" t="s">
        <v>36</v>
      </c>
      <c r="C100" t="s">
        <v>39</v>
      </c>
      <c r="D100" s="3">
        <v>40000</v>
      </c>
      <c r="E100">
        <v>0</v>
      </c>
      <c r="F100" t="s">
        <v>31</v>
      </c>
      <c r="G100" t="s">
        <v>20</v>
      </c>
      <c r="H100" t="s">
        <v>15</v>
      </c>
      <c r="I100">
        <v>0</v>
      </c>
      <c r="J100" t="s">
        <v>16</v>
      </c>
      <c r="K100" t="s">
        <v>17</v>
      </c>
      <c r="L100">
        <v>25</v>
      </c>
      <c r="M100" t="str">
        <f t="shared" si="1"/>
        <v>Adolescnt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Stage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Stage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Stage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Stage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Stage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Stage</v>
      </c>
      <c r="N106" t="s">
        <v>15</v>
      </c>
    </row>
    <row r="107" spans="1:14" hidden="1" x14ac:dyDescent="0.3">
      <c r="A107">
        <v>22707</v>
      </c>
      <c r="B107" t="s">
        <v>37</v>
      </c>
      <c r="C107" t="s">
        <v>38</v>
      </c>
      <c r="D107" s="3">
        <v>30000</v>
      </c>
      <c r="E107">
        <v>0</v>
      </c>
      <c r="F107" t="s">
        <v>19</v>
      </c>
      <c r="G107" t="s">
        <v>20</v>
      </c>
      <c r="H107" t="s">
        <v>18</v>
      </c>
      <c r="I107">
        <v>1</v>
      </c>
      <c r="J107" t="s">
        <v>22</v>
      </c>
      <c r="K107" t="s">
        <v>17</v>
      </c>
      <c r="L107">
        <v>30</v>
      </c>
      <c r="M107" t="str">
        <f t="shared" si="1"/>
        <v>Adolescnt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Stage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Stage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Stage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Stage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Stage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Stage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Stage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Stage</v>
      </c>
      <c r="N115" t="s">
        <v>15</v>
      </c>
    </row>
    <row r="116" spans="1:14" hidden="1" x14ac:dyDescent="0.3">
      <c r="A116">
        <v>15030</v>
      </c>
      <c r="B116" t="s">
        <v>36</v>
      </c>
      <c r="C116" t="s">
        <v>39</v>
      </c>
      <c r="D116" s="3">
        <v>20000</v>
      </c>
      <c r="E116">
        <v>0</v>
      </c>
      <c r="F116" t="s">
        <v>13</v>
      </c>
      <c r="G116" t="s">
        <v>20</v>
      </c>
      <c r="H116" t="s">
        <v>15</v>
      </c>
      <c r="I116">
        <v>0</v>
      </c>
      <c r="J116" t="s">
        <v>16</v>
      </c>
      <c r="K116" t="s">
        <v>24</v>
      </c>
      <c r="L116">
        <v>26</v>
      </c>
      <c r="M116" t="str">
        <f t="shared" si="1"/>
        <v>Adolescnt</v>
      </c>
      <c r="N116" t="s">
        <v>15</v>
      </c>
    </row>
    <row r="117" spans="1:14" hidden="1" x14ac:dyDescent="0.3">
      <c r="A117">
        <v>24140</v>
      </c>
      <c r="B117" t="s">
        <v>37</v>
      </c>
      <c r="C117" t="s">
        <v>39</v>
      </c>
      <c r="D117" s="3">
        <v>10000</v>
      </c>
      <c r="E117">
        <v>0</v>
      </c>
      <c r="F117" t="s">
        <v>31</v>
      </c>
      <c r="G117" t="s">
        <v>25</v>
      </c>
      <c r="H117" t="s">
        <v>18</v>
      </c>
      <c r="I117">
        <v>0</v>
      </c>
      <c r="J117" t="s">
        <v>16</v>
      </c>
      <c r="K117" t="s">
        <v>17</v>
      </c>
      <c r="L117">
        <v>30</v>
      </c>
      <c r="M117" t="str">
        <f t="shared" si="1"/>
        <v>Adolescnt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Stage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Stage</v>
      </c>
      <c r="N119" t="s">
        <v>15</v>
      </c>
    </row>
    <row r="120" spans="1:14" hidden="1"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hidden="1" x14ac:dyDescent="0.3">
      <c r="A121">
        <v>12871</v>
      </c>
      <c r="B121" t="s">
        <v>37</v>
      </c>
      <c r="C121" t="s">
        <v>38</v>
      </c>
      <c r="D121" s="3">
        <v>30000</v>
      </c>
      <c r="E121">
        <v>0</v>
      </c>
      <c r="F121" t="s">
        <v>19</v>
      </c>
      <c r="G121" t="s">
        <v>20</v>
      </c>
      <c r="H121" t="s">
        <v>18</v>
      </c>
      <c r="I121">
        <v>1</v>
      </c>
      <c r="J121" t="s">
        <v>22</v>
      </c>
      <c r="K121" t="s">
        <v>17</v>
      </c>
      <c r="L121">
        <v>29</v>
      </c>
      <c r="M121" t="str">
        <f t="shared" si="1"/>
        <v>Adolescnt</v>
      </c>
      <c r="N121" t="s">
        <v>18</v>
      </c>
    </row>
    <row r="122" spans="1:14" hidden="1"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Stage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Stage</v>
      </c>
      <c r="N124" t="s">
        <v>18</v>
      </c>
    </row>
    <row r="125" spans="1:14" hidden="1"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Stage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Stage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Stage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Stage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Stage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Stage",IF(L131&lt;31,"Adolescnt","Invalid")))</f>
        <v>Middle Stage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Stage</v>
      </c>
      <c r="N132" t="s">
        <v>18</v>
      </c>
    </row>
    <row r="133" spans="1:14" hidden="1"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Stage</v>
      </c>
      <c r="N134" t="s">
        <v>15</v>
      </c>
    </row>
    <row r="135" spans="1:14" hidden="1"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Stage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Stage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Stage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Stage</v>
      </c>
      <c r="N139" t="s">
        <v>18</v>
      </c>
    </row>
    <row r="140" spans="1:14" hidden="1"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hidden="1"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Stage</v>
      </c>
      <c r="N142" t="s">
        <v>15</v>
      </c>
    </row>
    <row r="143" spans="1:14" hidden="1" x14ac:dyDescent="0.3">
      <c r="A143">
        <v>23993</v>
      </c>
      <c r="B143" t="s">
        <v>37</v>
      </c>
      <c r="C143" t="s">
        <v>38</v>
      </c>
      <c r="D143" s="3">
        <v>10000</v>
      </c>
      <c r="E143">
        <v>0</v>
      </c>
      <c r="F143" t="s">
        <v>19</v>
      </c>
      <c r="G143" t="s">
        <v>25</v>
      </c>
      <c r="H143" t="s">
        <v>18</v>
      </c>
      <c r="I143">
        <v>1</v>
      </c>
      <c r="J143" t="s">
        <v>16</v>
      </c>
      <c r="K143" t="s">
        <v>24</v>
      </c>
      <c r="L143">
        <v>26</v>
      </c>
      <c r="M143" t="str">
        <f t="shared" si="2"/>
        <v>Adolescnt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Stage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Stage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Stage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Stage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Stage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Stage</v>
      </c>
      <c r="N149" t="s">
        <v>15</v>
      </c>
    </row>
    <row r="150" spans="1:14" hidden="1"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hidden="1" x14ac:dyDescent="0.3">
      <c r="A151">
        <v>12728</v>
      </c>
      <c r="B151" t="s">
        <v>37</v>
      </c>
      <c r="C151" t="s">
        <v>39</v>
      </c>
      <c r="D151" s="3">
        <v>30000</v>
      </c>
      <c r="E151">
        <v>0</v>
      </c>
      <c r="F151" t="s">
        <v>19</v>
      </c>
      <c r="G151" t="s">
        <v>20</v>
      </c>
      <c r="H151" t="s">
        <v>18</v>
      </c>
      <c r="I151">
        <v>1</v>
      </c>
      <c r="J151" t="s">
        <v>26</v>
      </c>
      <c r="K151" t="s">
        <v>17</v>
      </c>
      <c r="L151">
        <v>27</v>
      </c>
      <c r="M151" t="str">
        <f t="shared" si="2"/>
        <v>Adolescnt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Stage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Stage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Stage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Stage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Stage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Stage</v>
      </c>
      <c r="N157" t="s">
        <v>15</v>
      </c>
    </row>
    <row r="158" spans="1:14" hidden="1"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Stage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Stage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Stage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Stage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Stage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Stage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Stage</v>
      </c>
      <c r="N165" t="s">
        <v>18</v>
      </c>
    </row>
    <row r="166" spans="1:14" hidden="1" x14ac:dyDescent="0.3">
      <c r="A166">
        <v>22402</v>
      </c>
      <c r="B166" t="s">
        <v>36</v>
      </c>
      <c r="C166" t="s">
        <v>39</v>
      </c>
      <c r="D166" s="3">
        <v>10000</v>
      </c>
      <c r="E166">
        <v>0</v>
      </c>
      <c r="F166" t="s">
        <v>19</v>
      </c>
      <c r="G166" t="s">
        <v>25</v>
      </c>
      <c r="H166" t="s">
        <v>15</v>
      </c>
      <c r="I166">
        <v>1</v>
      </c>
      <c r="J166" t="s">
        <v>22</v>
      </c>
      <c r="K166" t="s">
        <v>24</v>
      </c>
      <c r="L166">
        <v>25</v>
      </c>
      <c r="M166" t="str">
        <f t="shared" si="2"/>
        <v>Adolescnt</v>
      </c>
      <c r="N166" t="s">
        <v>15</v>
      </c>
    </row>
    <row r="167" spans="1:14" hidden="1" x14ac:dyDescent="0.3">
      <c r="A167">
        <v>15465</v>
      </c>
      <c r="B167" t="s">
        <v>36</v>
      </c>
      <c r="C167" t="s">
        <v>38</v>
      </c>
      <c r="D167" s="3">
        <v>10000</v>
      </c>
      <c r="E167">
        <v>0</v>
      </c>
      <c r="F167" t="s">
        <v>19</v>
      </c>
      <c r="G167" t="s">
        <v>25</v>
      </c>
      <c r="H167" t="s">
        <v>18</v>
      </c>
      <c r="I167">
        <v>1</v>
      </c>
      <c r="J167" t="s">
        <v>16</v>
      </c>
      <c r="K167" t="s">
        <v>24</v>
      </c>
      <c r="L167">
        <v>25</v>
      </c>
      <c r="M167" t="str">
        <f t="shared" si="2"/>
        <v>Adolescnt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Stage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Stage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Stage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Stage</v>
      </c>
      <c r="N171" t="s">
        <v>18</v>
      </c>
    </row>
    <row r="172" spans="1:14" hidden="1"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hidden="1"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Stage</v>
      </c>
      <c r="N174" t="s">
        <v>18</v>
      </c>
    </row>
    <row r="175" spans="1:14" hidden="1" x14ac:dyDescent="0.3">
      <c r="A175">
        <v>17907</v>
      </c>
      <c r="B175" t="s">
        <v>36</v>
      </c>
      <c r="C175" t="s">
        <v>38</v>
      </c>
      <c r="D175" s="3">
        <v>10000</v>
      </c>
      <c r="E175">
        <v>0</v>
      </c>
      <c r="F175" t="s">
        <v>19</v>
      </c>
      <c r="G175" t="s">
        <v>25</v>
      </c>
      <c r="H175" t="s">
        <v>15</v>
      </c>
      <c r="I175">
        <v>1</v>
      </c>
      <c r="J175" t="s">
        <v>22</v>
      </c>
      <c r="K175" t="s">
        <v>24</v>
      </c>
      <c r="L175">
        <v>27</v>
      </c>
      <c r="M175" t="str">
        <f t="shared" si="2"/>
        <v>Adolescnt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Stage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Stage</v>
      </c>
      <c r="N177" t="s">
        <v>15</v>
      </c>
    </row>
    <row r="178" spans="1:14" hidden="1" x14ac:dyDescent="0.3">
      <c r="A178">
        <v>12253</v>
      </c>
      <c r="B178" t="s">
        <v>37</v>
      </c>
      <c r="C178" t="s">
        <v>38</v>
      </c>
      <c r="D178" s="3">
        <v>20000</v>
      </c>
      <c r="E178">
        <v>0</v>
      </c>
      <c r="F178" t="s">
        <v>19</v>
      </c>
      <c r="G178" t="s">
        <v>25</v>
      </c>
      <c r="H178" t="s">
        <v>15</v>
      </c>
      <c r="I178">
        <v>0</v>
      </c>
      <c r="J178" t="s">
        <v>16</v>
      </c>
      <c r="K178" t="s">
        <v>24</v>
      </c>
      <c r="L178">
        <v>29</v>
      </c>
      <c r="M178" t="str">
        <f t="shared" si="2"/>
        <v>Adolescnt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Stage</v>
      </c>
      <c r="N179" t="s">
        <v>18</v>
      </c>
    </row>
    <row r="180" spans="1:14" hidden="1"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Stage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Stage</v>
      </c>
      <c r="N182" t="s">
        <v>18</v>
      </c>
    </row>
    <row r="183" spans="1:14" hidden="1"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Stage</v>
      </c>
      <c r="N184" t="s">
        <v>18</v>
      </c>
    </row>
    <row r="185" spans="1:14" hidden="1"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hidden="1"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Stage</v>
      </c>
      <c r="N187" t="s">
        <v>15</v>
      </c>
    </row>
    <row r="188" spans="1:14" hidden="1"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hidden="1"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Stage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Stage</v>
      </c>
      <c r="N191" t="s">
        <v>15</v>
      </c>
    </row>
    <row r="192" spans="1:14" hidden="1"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Stage</v>
      </c>
      <c r="N193" t="s">
        <v>15</v>
      </c>
    </row>
    <row r="194" spans="1:14" hidden="1"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Stage",IF(L195&lt;31,"Adolescnt","Invalid")))</f>
        <v>Middle Stage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Stage</v>
      </c>
      <c r="N196" t="s">
        <v>18</v>
      </c>
    </row>
    <row r="197" spans="1:14" hidden="1" x14ac:dyDescent="0.3">
      <c r="A197">
        <v>25559</v>
      </c>
      <c r="B197" t="s">
        <v>37</v>
      </c>
      <c r="C197" t="s">
        <v>39</v>
      </c>
      <c r="D197" s="3">
        <v>20000</v>
      </c>
      <c r="E197">
        <v>0</v>
      </c>
      <c r="F197" t="s">
        <v>13</v>
      </c>
      <c r="G197" t="s">
        <v>20</v>
      </c>
      <c r="H197" t="s">
        <v>15</v>
      </c>
      <c r="I197">
        <v>0</v>
      </c>
      <c r="J197" t="s">
        <v>16</v>
      </c>
      <c r="K197" t="s">
        <v>24</v>
      </c>
      <c r="L197">
        <v>25</v>
      </c>
      <c r="M197" t="str">
        <f t="shared" si="3"/>
        <v>Adolescnt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Stage</v>
      </c>
      <c r="N198" t="s">
        <v>18</v>
      </c>
    </row>
    <row r="199" spans="1:14" hidden="1"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Stage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Stage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Stage</v>
      </c>
      <c r="N202" t="s">
        <v>18</v>
      </c>
    </row>
    <row r="203" spans="1:14" hidden="1" x14ac:dyDescent="0.3">
      <c r="A203">
        <v>12585</v>
      </c>
      <c r="B203" t="s">
        <v>36</v>
      </c>
      <c r="C203" t="s">
        <v>39</v>
      </c>
      <c r="D203" s="3">
        <v>10000</v>
      </c>
      <c r="E203">
        <v>1</v>
      </c>
      <c r="F203" t="s">
        <v>27</v>
      </c>
      <c r="G203" t="s">
        <v>25</v>
      </c>
      <c r="H203" t="s">
        <v>15</v>
      </c>
      <c r="I203">
        <v>0</v>
      </c>
      <c r="J203" t="s">
        <v>22</v>
      </c>
      <c r="K203" t="s">
        <v>24</v>
      </c>
      <c r="L203">
        <v>27</v>
      </c>
      <c r="M203" t="str">
        <f t="shared" si="3"/>
        <v>Adolescnt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Stage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Stage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Stage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Stage</v>
      </c>
      <c r="N207" t="s">
        <v>15</v>
      </c>
    </row>
    <row r="208" spans="1:14" hidden="1"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hidden="1" x14ac:dyDescent="0.3">
      <c r="A209">
        <v>28729</v>
      </c>
      <c r="B209" t="s">
        <v>37</v>
      </c>
      <c r="C209" t="s">
        <v>38</v>
      </c>
      <c r="D209" s="3">
        <v>20000</v>
      </c>
      <c r="E209">
        <v>0</v>
      </c>
      <c r="F209" t="s">
        <v>29</v>
      </c>
      <c r="G209" t="s">
        <v>25</v>
      </c>
      <c r="H209" t="s">
        <v>15</v>
      </c>
      <c r="I209">
        <v>2</v>
      </c>
      <c r="J209" t="s">
        <v>26</v>
      </c>
      <c r="K209" t="s">
        <v>17</v>
      </c>
      <c r="L209">
        <v>26</v>
      </c>
      <c r="M209" t="str">
        <f t="shared" si="3"/>
        <v>Adolescnt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Stage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Stage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Stage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Stage</v>
      </c>
      <c r="N213" t="s">
        <v>15</v>
      </c>
    </row>
    <row r="214" spans="1:14" hidden="1" x14ac:dyDescent="0.3">
      <c r="A214">
        <v>20946</v>
      </c>
      <c r="B214" t="s">
        <v>37</v>
      </c>
      <c r="C214" t="s">
        <v>38</v>
      </c>
      <c r="D214" s="3">
        <v>30000</v>
      </c>
      <c r="E214">
        <v>0</v>
      </c>
      <c r="F214" t="s">
        <v>19</v>
      </c>
      <c r="G214" t="s">
        <v>20</v>
      </c>
      <c r="H214" t="s">
        <v>18</v>
      </c>
      <c r="I214">
        <v>1</v>
      </c>
      <c r="J214" t="s">
        <v>22</v>
      </c>
      <c r="K214" t="s">
        <v>17</v>
      </c>
      <c r="L214">
        <v>30</v>
      </c>
      <c r="M214" t="str">
        <f t="shared" si="3"/>
        <v>Adolescnt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Stage</v>
      </c>
      <c r="N215" t="s">
        <v>15</v>
      </c>
    </row>
    <row r="216" spans="1:14" hidden="1"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Stage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Stage</v>
      </c>
      <c r="N218" t="s">
        <v>18</v>
      </c>
    </row>
    <row r="219" spans="1:14" hidden="1" x14ac:dyDescent="0.3">
      <c r="A219">
        <v>13673</v>
      </c>
      <c r="B219" t="s">
        <v>37</v>
      </c>
      <c r="C219" t="s">
        <v>38</v>
      </c>
      <c r="D219" s="3">
        <v>20000</v>
      </c>
      <c r="E219">
        <v>0</v>
      </c>
      <c r="F219" t="s">
        <v>29</v>
      </c>
      <c r="G219" t="s">
        <v>25</v>
      </c>
      <c r="H219" t="s">
        <v>18</v>
      </c>
      <c r="I219">
        <v>2</v>
      </c>
      <c r="J219" t="s">
        <v>16</v>
      </c>
      <c r="K219" t="s">
        <v>17</v>
      </c>
      <c r="L219">
        <v>25</v>
      </c>
      <c r="M219" t="str">
        <f t="shared" si="3"/>
        <v>Adolescnt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Stage</v>
      </c>
      <c r="N220" t="s">
        <v>18</v>
      </c>
    </row>
    <row r="221" spans="1:14" hidden="1" x14ac:dyDescent="0.3">
      <c r="A221">
        <v>22399</v>
      </c>
      <c r="B221" t="s">
        <v>37</v>
      </c>
      <c r="C221" t="s">
        <v>39</v>
      </c>
      <c r="D221" s="3">
        <v>10000</v>
      </c>
      <c r="E221">
        <v>0</v>
      </c>
      <c r="F221" t="s">
        <v>19</v>
      </c>
      <c r="G221" t="s">
        <v>25</v>
      </c>
      <c r="H221" t="s">
        <v>15</v>
      </c>
      <c r="I221">
        <v>1</v>
      </c>
      <c r="J221" t="s">
        <v>26</v>
      </c>
      <c r="K221" t="s">
        <v>24</v>
      </c>
      <c r="L221">
        <v>26</v>
      </c>
      <c r="M221" t="str">
        <f t="shared" si="3"/>
        <v>Adolescnt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Stage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Stage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Stage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Stage</v>
      </c>
      <c r="N225" t="s">
        <v>18</v>
      </c>
    </row>
    <row r="226" spans="1:14" hidden="1"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Stage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Stage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Stage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Stage</v>
      </c>
      <c r="N230" t="s">
        <v>18</v>
      </c>
    </row>
    <row r="231" spans="1:14" hidden="1"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hidden="1"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Stage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Stage</v>
      </c>
      <c r="N234" t="s">
        <v>18</v>
      </c>
    </row>
    <row r="235" spans="1:14" hidden="1" x14ac:dyDescent="0.3">
      <c r="A235">
        <v>24174</v>
      </c>
      <c r="B235" t="s">
        <v>36</v>
      </c>
      <c r="C235" t="s">
        <v>39</v>
      </c>
      <c r="D235" s="3">
        <v>20000</v>
      </c>
      <c r="E235">
        <v>0</v>
      </c>
      <c r="F235" t="s">
        <v>13</v>
      </c>
      <c r="G235" t="s">
        <v>20</v>
      </c>
      <c r="H235" t="s">
        <v>15</v>
      </c>
      <c r="I235">
        <v>0</v>
      </c>
      <c r="J235" t="s">
        <v>16</v>
      </c>
      <c r="K235" t="s">
        <v>24</v>
      </c>
      <c r="L235">
        <v>27</v>
      </c>
      <c r="M235" t="str">
        <f t="shared" si="3"/>
        <v>Adolescnt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Stage</v>
      </c>
      <c r="N236" t="s">
        <v>15</v>
      </c>
    </row>
    <row r="237" spans="1:14" hidden="1"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Stage</v>
      </c>
      <c r="N238" t="s">
        <v>15</v>
      </c>
    </row>
    <row r="239" spans="1:14" hidden="1" x14ac:dyDescent="0.3">
      <c r="A239">
        <v>25555</v>
      </c>
      <c r="B239" t="s">
        <v>36</v>
      </c>
      <c r="C239" t="s">
        <v>38</v>
      </c>
      <c r="D239" s="3">
        <v>10000</v>
      </c>
      <c r="E239">
        <v>0</v>
      </c>
      <c r="F239" t="s">
        <v>19</v>
      </c>
      <c r="G239" t="s">
        <v>25</v>
      </c>
      <c r="H239" t="s">
        <v>18</v>
      </c>
      <c r="I239">
        <v>1</v>
      </c>
      <c r="J239" t="s">
        <v>16</v>
      </c>
      <c r="K239" t="s">
        <v>24</v>
      </c>
      <c r="L239">
        <v>26</v>
      </c>
      <c r="M239" t="str">
        <f t="shared" si="3"/>
        <v>Adolescnt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Stage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Stage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Stage</v>
      </c>
      <c r="N242" t="s">
        <v>18</v>
      </c>
    </row>
    <row r="243" spans="1:14" hidden="1" x14ac:dyDescent="0.3">
      <c r="A243">
        <v>12503</v>
      </c>
      <c r="B243" t="s">
        <v>37</v>
      </c>
      <c r="C243" t="s">
        <v>38</v>
      </c>
      <c r="D243" s="3">
        <v>30000</v>
      </c>
      <c r="E243">
        <v>3</v>
      </c>
      <c r="F243" t="s">
        <v>19</v>
      </c>
      <c r="G243" t="s">
        <v>20</v>
      </c>
      <c r="H243" t="s">
        <v>15</v>
      </c>
      <c r="I243">
        <v>2</v>
      </c>
      <c r="J243" t="s">
        <v>16</v>
      </c>
      <c r="K243" t="s">
        <v>17</v>
      </c>
      <c r="L243">
        <v>27</v>
      </c>
      <c r="M243" t="str">
        <f t="shared" si="3"/>
        <v>Adolescnt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Stage</v>
      </c>
      <c r="N244" t="s">
        <v>15</v>
      </c>
    </row>
    <row r="245" spans="1:14" hidden="1" x14ac:dyDescent="0.3">
      <c r="A245">
        <v>22527</v>
      </c>
      <c r="B245" t="s">
        <v>37</v>
      </c>
      <c r="C245" t="s">
        <v>38</v>
      </c>
      <c r="D245" s="3">
        <v>20000</v>
      </c>
      <c r="E245">
        <v>0</v>
      </c>
      <c r="F245" t="s">
        <v>27</v>
      </c>
      <c r="G245" t="s">
        <v>25</v>
      </c>
      <c r="H245" t="s">
        <v>18</v>
      </c>
      <c r="I245">
        <v>1</v>
      </c>
      <c r="J245" t="s">
        <v>22</v>
      </c>
      <c r="K245" t="s">
        <v>17</v>
      </c>
      <c r="L245">
        <v>29</v>
      </c>
      <c r="M245" t="str">
        <f t="shared" si="3"/>
        <v>Adolescnt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Stage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Stage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Stage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Stage</v>
      </c>
      <c r="N249" t="s">
        <v>15</v>
      </c>
    </row>
    <row r="250" spans="1:14" hidden="1"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Stage</v>
      </c>
      <c r="N251" t="s">
        <v>15</v>
      </c>
    </row>
    <row r="252" spans="1:14" hidden="1"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hidden="1"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Stage</v>
      </c>
      <c r="N254" t="s">
        <v>18</v>
      </c>
    </row>
    <row r="255" spans="1:14" hidden="1"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hidden="1"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Stage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Stage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Stage",IF(L259&lt;31,"Adolescnt","Invalid")))</f>
        <v>Middle Stage</v>
      </c>
      <c r="N259" t="s">
        <v>15</v>
      </c>
    </row>
    <row r="260" spans="1:14" hidden="1"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Stage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Stage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Stage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Stage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Stage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Stage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Stage</v>
      </c>
      <c r="N267" t="s">
        <v>18</v>
      </c>
    </row>
    <row r="268" spans="1:14" hidden="1" x14ac:dyDescent="0.3">
      <c r="A268">
        <v>20927</v>
      </c>
      <c r="B268" t="s">
        <v>37</v>
      </c>
      <c r="C268" t="s">
        <v>38</v>
      </c>
      <c r="D268" s="3">
        <v>20000</v>
      </c>
      <c r="E268">
        <v>5</v>
      </c>
      <c r="F268" t="s">
        <v>27</v>
      </c>
      <c r="G268" t="s">
        <v>25</v>
      </c>
      <c r="H268" t="s">
        <v>15</v>
      </c>
      <c r="I268">
        <v>2</v>
      </c>
      <c r="J268" t="s">
        <v>16</v>
      </c>
      <c r="K268" t="s">
        <v>17</v>
      </c>
      <c r="L268">
        <v>27</v>
      </c>
      <c r="M268" t="str">
        <f t="shared" si="4"/>
        <v>Adolescnt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Stage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Stage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Stage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Stage</v>
      </c>
      <c r="N272" t="s">
        <v>15</v>
      </c>
    </row>
    <row r="273" spans="1:14" hidden="1" x14ac:dyDescent="0.3">
      <c r="A273">
        <v>25665</v>
      </c>
      <c r="B273" t="s">
        <v>37</v>
      </c>
      <c r="C273" t="s">
        <v>38</v>
      </c>
      <c r="D273" s="3">
        <v>20000</v>
      </c>
      <c r="E273">
        <v>0</v>
      </c>
      <c r="F273" t="s">
        <v>27</v>
      </c>
      <c r="G273" t="s">
        <v>25</v>
      </c>
      <c r="H273" t="s">
        <v>18</v>
      </c>
      <c r="I273">
        <v>1</v>
      </c>
      <c r="J273" t="s">
        <v>26</v>
      </c>
      <c r="K273" t="s">
        <v>17</v>
      </c>
      <c r="L273">
        <v>28</v>
      </c>
      <c r="M273" t="str">
        <f t="shared" si="4"/>
        <v>Adolescnt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Stage</v>
      </c>
      <c r="N274" t="s">
        <v>15</v>
      </c>
    </row>
    <row r="275" spans="1:14" hidden="1" x14ac:dyDescent="0.3">
      <c r="A275">
        <v>26879</v>
      </c>
      <c r="B275" t="s">
        <v>37</v>
      </c>
      <c r="C275" t="s">
        <v>38</v>
      </c>
      <c r="D275" s="3">
        <v>20000</v>
      </c>
      <c r="E275">
        <v>0</v>
      </c>
      <c r="F275" t="s">
        <v>27</v>
      </c>
      <c r="G275" t="s">
        <v>25</v>
      </c>
      <c r="H275" t="s">
        <v>18</v>
      </c>
      <c r="I275">
        <v>1</v>
      </c>
      <c r="J275" t="s">
        <v>22</v>
      </c>
      <c r="K275" t="s">
        <v>17</v>
      </c>
      <c r="L275">
        <v>30</v>
      </c>
      <c r="M275" t="str">
        <f t="shared" si="4"/>
        <v>Adolescnt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Stage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Stage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Stage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Stage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Stage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Stage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Stage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Stage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Stage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Stage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Stage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Stage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Stage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Stage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Stage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Stage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Stage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Stage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Stage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Stage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Stage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Stage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Stage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Stage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Stage</v>
      </c>
      <c r="N300" t="s">
        <v>15</v>
      </c>
    </row>
    <row r="301" spans="1:14" hidden="1"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hidden="1"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hidden="1" x14ac:dyDescent="0.3">
      <c r="A303">
        <v>17926</v>
      </c>
      <c r="B303" t="s">
        <v>37</v>
      </c>
      <c r="C303" t="s">
        <v>38</v>
      </c>
      <c r="D303" s="3">
        <v>40000</v>
      </c>
      <c r="E303">
        <v>0</v>
      </c>
      <c r="F303" t="s">
        <v>13</v>
      </c>
      <c r="G303" t="s">
        <v>20</v>
      </c>
      <c r="H303" t="s">
        <v>18</v>
      </c>
      <c r="I303">
        <v>0</v>
      </c>
      <c r="J303" t="s">
        <v>16</v>
      </c>
      <c r="K303" t="s">
        <v>24</v>
      </c>
      <c r="L303">
        <v>28</v>
      </c>
      <c r="M303" t="str">
        <f t="shared" si="4"/>
        <v>Adolescnt</v>
      </c>
      <c r="N303" t="s">
        <v>15</v>
      </c>
    </row>
    <row r="304" spans="1:14" hidden="1"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Stage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Stage</v>
      </c>
      <c r="N306" t="s">
        <v>15</v>
      </c>
    </row>
    <row r="307" spans="1:14" hidden="1"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Stage</v>
      </c>
      <c r="N308" t="s">
        <v>15</v>
      </c>
    </row>
    <row r="309" spans="1:14" hidden="1"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Stage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Stage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Stage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Stage</v>
      </c>
      <c r="N313" t="s">
        <v>18</v>
      </c>
    </row>
    <row r="314" spans="1:14" hidden="1"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Stage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Stage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Stage</v>
      </c>
      <c r="N317" t="s">
        <v>18</v>
      </c>
    </row>
    <row r="318" spans="1:14" hidden="1"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Stage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Stage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Stage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Stage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Stage",IF(L323&lt;31,"Adolescnt","Invalid")))</f>
        <v>Middle Stage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Stage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Stage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Stage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Stage</v>
      </c>
      <c r="N327" t="s">
        <v>15</v>
      </c>
    </row>
    <row r="328" spans="1:14" hidden="1" x14ac:dyDescent="0.3">
      <c r="A328">
        <v>20994</v>
      </c>
      <c r="B328" t="s">
        <v>36</v>
      </c>
      <c r="C328" t="s">
        <v>38</v>
      </c>
      <c r="D328" s="3">
        <v>20000</v>
      </c>
      <c r="E328">
        <v>0</v>
      </c>
      <c r="F328" t="s">
        <v>13</v>
      </c>
      <c r="G328" t="s">
        <v>20</v>
      </c>
      <c r="H328" t="s">
        <v>18</v>
      </c>
      <c r="I328">
        <v>0</v>
      </c>
      <c r="J328" t="s">
        <v>16</v>
      </c>
      <c r="K328" t="s">
        <v>24</v>
      </c>
      <c r="L328">
        <v>26</v>
      </c>
      <c r="M328" t="str">
        <f t="shared" si="5"/>
        <v>Adolescnt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Stage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Stage</v>
      </c>
      <c r="N330" t="s">
        <v>18</v>
      </c>
    </row>
    <row r="331" spans="1:14" hidden="1"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Stage</v>
      </c>
      <c r="N332" t="s">
        <v>18</v>
      </c>
    </row>
    <row r="333" spans="1:14" hidden="1" x14ac:dyDescent="0.3">
      <c r="A333">
        <v>19508</v>
      </c>
      <c r="B333" t="s">
        <v>36</v>
      </c>
      <c r="C333" t="s">
        <v>39</v>
      </c>
      <c r="D333" s="3">
        <v>10000</v>
      </c>
      <c r="E333">
        <v>0</v>
      </c>
      <c r="F333" t="s">
        <v>29</v>
      </c>
      <c r="G333" t="s">
        <v>25</v>
      </c>
      <c r="H333" t="s">
        <v>18</v>
      </c>
      <c r="I333">
        <v>2</v>
      </c>
      <c r="J333" t="s">
        <v>16</v>
      </c>
      <c r="K333" t="s">
        <v>17</v>
      </c>
      <c r="L333">
        <v>30</v>
      </c>
      <c r="M333" t="str">
        <f t="shared" si="5"/>
        <v>Adolescnt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Stage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Stage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Stage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Stage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Stage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Stage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Stage</v>
      </c>
      <c r="N340" t="s">
        <v>15</v>
      </c>
    </row>
    <row r="341" spans="1:14" hidden="1"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hidden="1" x14ac:dyDescent="0.3">
      <c r="A342">
        <v>16468</v>
      </c>
      <c r="B342" t="s">
        <v>37</v>
      </c>
      <c r="C342" t="s">
        <v>39</v>
      </c>
      <c r="D342" s="3">
        <v>30000</v>
      </c>
      <c r="E342">
        <v>0</v>
      </c>
      <c r="F342" t="s">
        <v>19</v>
      </c>
      <c r="G342" t="s">
        <v>20</v>
      </c>
      <c r="H342" t="s">
        <v>15</v>
      </c>
      <c r="I342">
        <v>1</v>
      </c>
      <c r="J342" t="s">
        <v>22</v>
      </c>
      <c r="K342" t="s">
        <v>17</v>
      </c>
      <c r="L342">
        <v>30</v>
      </c>
      <c r="M342" t="str">
        <f t="shared" si="5"/>
        <v>Adolescnt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Stage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Stage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Stage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Stage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Stage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Stage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Stage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Stage</v>
      </c>
      <c r="N350" t="s">
        <v>18</v>
      </c>
    </row>
    <row r="351" spans="1:14" hidden="1" x14ac:dyDescent="0.3">
      <c r="A351">
        <v>24121</v>
      </c>
      <c r="B351" t="s">
        <v>37</v>
      </c>
      <c r="C351" t="s">
        <v>38</v>
      </c>
      <c r="D351" s="3">
        <v>30000</v>
      </c>
      <c r="E351">
        <v>0</v>
      </c>
      <c r="F351" t="s">
        <v>19</v>
      </c>
      <c r="G351" t="s">
        <v>20</v>
      </c>
      <c r="H351" t="s">
        <v>18</v>
      </c>
      <c r="I351">
        <v>1</v>
      </c>
      <c r="J351" t="s">
        <v>16</v>
      </c>
      <c r="K351" t="s">
        <v>17</v>
      </c>
      <c r="L351">
        <v>29</v>
      </c>
      <c r="M351" t="str">
        <f t="shared" si="5"/>
        <v>Adolescnt</v>
      </c>
      <c r="N351" t="s">
        <v>15</v>
      </c>
    </row>
    <row r="352" spans="1:14" hidden="1" x14ac:dyDescent="0.3">
      <c r="A352">
        <v>27878</v>
      </c>
      <c r="B352" t="s">
        <v>37</v>
      </c>
      <c r="C352" t="s">
        <v>39</v>
      </c>
      <c r="D352" s="3">
        <v>20000</v>
      </c>
      <c r="E352">
        <v>0</v>
      </c>
      <c r="F352" t="s">
        <v>19</v>
      </c>
      <c r="G352" t="s">
        <v>25</v>
      </c>
      <c r="H352" t="s">
        <v>18</v>
      </c>
      <c r="I352">
        <v>0</v>
      </c>
      <c r="J352" t="s">
        <v>16</v>
      </c>
      <c r="K352" t="s">
        <v>24</v>
      </c>
      <c r="L352">
        <v>28</v>
      </c>
      <c r="M352" t="str">
        <f t="shared" si="5"/>
        <v>Adolescnt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Stage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Stage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Stage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Stage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Stage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Stage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Stage</v>
      </c>
      <c r="N359" t="s">
        <v>18</v>
      </c>
    </row>
    <row r="360" spans="1:14" hidden="1"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hidden="1" x14ac:dyDescent="0.3">
      <c r="A361">
        <v>17230</v>
      </c>
      <c r="B361" t="s">
        <v>36</v>
      </c>
      <c r="C361" t="s">
        <v>39</v>
      </c>
      <c r="D361" s="3">
        <v>80000</v>
      </c>
      <c r="E361">
        <v>0</v>
      </c>
      <c r="F361" t="s">
        <v>13</v>
      </c>
      <c r="G361" t="s">
        <v>21</v>
      </c>
      <c r="H361" t="s">
        <v>15</v>
      </c>
      <c r="I361">
        <v>3</v>
      </c>
      <c r="J361" t="s">
        <v>46</v>
      </c>
      <c r="K361" t="s">
        <v>24</v>
      </c>
      <c r="L361">
        <v>30</v>
      </c>
      <c r="M361" t="str">
        <f t="shared" si="5"/>
        <v>Adolescnt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Stage</v>
      </c>
      <c r="N362" t="s">
        <v>15</v>
      </c>
    </row>
    <row r="363" spans="1:14" hidden="1" x14ac:dyDescent="0.3">
      <c r="A363">
        <v>22518</v>
      </c>
      <c r="B363" t="s">
        <v>37</v>
      </c>
      <c r="C363" t="s">
        <v>38</v>
      </c>
      <c r="D363" s="3">
        <v>30000</v>
      </c>
      <c r="E363">
        <v>3</v>
      </c>
      <c r="F363" t="s">
        <v>19</v>
      </c>
      <c r="G363" t="s">
        <v>20</v>
      </c>
      <c r="H363" t="s">
        <v>18</v>
      </c>
      <c r="I363">
        <v>2</v>
      </c>
      <c r="J363" t="s">
        <v>16</v>
      </c>
      <c r="K363" t="s">
        <v>17</v>
      </c>
      <c r="L363">
        <v>27</v>
      </c>
      <c r="M363" t="str">
        <f t="shared" si="5"/>
        <v>Adolescnt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Stage</v>
      </c>
      <c r="N364" t="s">
        <v>15</v>
      </c>
    </row>
    <row r="365" spans="1:14" hidden="1"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Stage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Stage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Stage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Stage</v>
      </c>
      <c r="N369" t="s">
        <v>15</v>
      </c>
    </row>
    <row r="370" spans="1:14" hidden="1"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Stage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Stage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Stage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Stage</v>
      </c>
      <c r="N374" t="s">
        <v>15</v>
      </c>
    </row>
    <row r="375" spans="1:14" hidden="1" x14ac:dyDescent="0.3">
      <c r="A375">
        <v>25512</v>
      </c>
      <c r="B375" t="s">
        <v>37</v>
      </c>
      <c r="C375" t="s">
        <v>39</v>
      </c>
      <c r="D375" s="3">
        <v>20000</v>
      </c>
      <c r="E375">
        <v>0</v>
      </c>
      <c r="F375" t="s">
        <v>27</v>
      </c>
      <c r="G375" t="s">
        <v>25</v>
      </c>
      <c r="H375" t="s">
        <v>18</v>
      </c>
      <c r="I375">
        <v>1</v>
      </c>
      <c r="J375" t="s">
        <v>22</v>
      </c>
      <c r="K375" t="s">
        <v>17</v>
      </c>
      <c r="L375">
        <v>30</v>
      </c>
      <c r="M375" t="str">
        <f t="shared" si="5"/>
        <v>Adolescnt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Stage</v>
      </c>
      <c r="N376" t="s">
        <v>18</v>
      </c>
    </row>
    <row r="377" spans="1:14" hidden="1"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hidden="1"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Stage</v>
      </c>
      <c r="N379" t="s">
        <v>15</v>
      </c>
    </row>
    <row r="380" spans="1:14" hidden="1"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Stage</v>
      </c>
      <c r="N381" t="s">
        <v>18</v>
      </c>
    </row>
    <row r="382" spans="1:14" hidden="1" x14ac:dyDescent="0.3">
      <c r="A382">
        <v>13620</v>
      </c>
      <c r="B382" t="s">
        <v>37</v>
      </c>
      <c r="C382" t="s">
        <v>39</v>
      </c>
      <c r="D382" s="3">
        <v>70000</v>
      </c>
      <c r="E382">
        <v>0</v>
      </c>
      <c r="F382" t="s">
        <v>13</v>
      </c>
      <c r="G382" t="s">
        <v>21</v>
      </c>
      <c r="H382" t="s">
        <v>18</v>
      </c>
      <c r="I382">
        <v>3</v>
      </c>
      <c r="J382" t="s">
        <v>46</v>
      </c>
      <c r="K382" t="s">
        <v>24</v>
      </c>
      <c r="L382">
        <v>30</v>
      </c>
      <c r="M382" t="str">
        <f t="shared" si="5"/>
        <v>Adolescnt</v>
      </c>
      <c r="N382" t="s">
        <v>15</v>
      </c>
    </row>
    <row r="383" spans="1:14" hidden="1"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Stage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Stage</v>
      </c>
      <c r="N385" t="s">
        <v>15</v>
      </c>
    </row>
    <row r="386" spans="1:14" hidden="1" x14ac:dyDescent="0.3">
      <c r="A386">
        <v>12581</v>
      </c>
      <c r="B386" t="s">
        <v>37</v>
      </c>
      <c r="C386" t="s">
        <v>38</v>
      </c>
      <c r="D386" s="3">
        <v>10000</v>
      </c>
      <c r="E386">
        <v>0</v>
      </c>
      <c r="F386" t="s">
        <v>19</v>
      </c>
      <c r="G386" t="s">
        <v>25</v>
      </c>
      <c r="H386" t="s">
        <v>18</v>
      </c>
      <c r="I386">
        <v>1</v>
      </c>
      <c r="J386" t="s">
        <v>16</v>
      </c>
      <c r="K386" t="s">
        <v>24</v>
      </c>
      <c r="L386">
        <v>28</v>
      </c>
      <c r="M386" t="str">
        <f t="shared" si="5"/>
        <v>Adolescnt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Stage",IF(L387&lt;31,"Adolescnt","Invalid")))</f>
        <v>Middle Stage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Stage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Stage</v>
      </c>
      <c r="N389" t="s">
        <v>15</v>
      </c>
    </row>
    <row r="390" spans="1:14" hidden="1"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Stage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Stage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Stage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Stage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Stage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Stage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Stage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Stage</v>
      </c>
      <c r="N398" t="s">
        <v>15</v>
      </c>
    </row>
    <row r="399" spans="1:14" hidden="1"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Stage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Stage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Stage</v>
      </c>
      <c r="N402" t="s">
        <v>18</v>
      </c>
    </row>
    <row r="403" spans="1:14" hidden="1"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Stage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Stage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Stage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Stage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Stage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Stage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Stage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Stage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Stage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Stage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Stage</v>
      </c>
      <c r="N414" t="s">
        <v>18</v>
      </c>
    </row>
    <row r="415" spans="1:14" hidden="1"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Stage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Stage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Stage</v>
      </c>
      <c r="N418" t="s">
        <v>15</v>
      </c>
    </row>
    <row r="419" spans="1:14" hidden="1"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Stage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Stage</v>
      </c>
      <c r="N421" t="s">
        <v>15</v>
      </c>
    </row>
    <row r="422" spans="1:14" hidden="1"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Stage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Stage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Stage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Stage</v>
      </c>
      <c r="N426" t="s">
        <v>18</v>
      </c>
    </row>
    <row r="427" spans="1:14" hidden="1"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hidden="1" x14ac:dyDescent="0.3">
      <c r="A428">
        <v>19389</v>
      </c>
      <c r="B428" t="s">
        <v>37</v>
      </c>
      <c r="C428" t="s">
        <v>39</v>
      </c>
      <c r="D428" s="3">
        <v>30000</v>
      </c>
      <c r="E428">
        <v>0</v>
      </c>
      <c r="F428" t="s">
        <v>19</v>
      </c>
      <c r="G428" t="s">
        <v>20</v>
      </c>
      <c r="H428" t="s">
        <v>18</v>
      </c>
      <c r="I428">
        <v>1</v>
      </c>
      <c r="J428" t="s">
        <v>22</v>
      </c>
      <c r="K428" t="s">
        <v>17</v>
      </c>
      <c r="L428">
        <v>28</v>
      </c>
      <c r="M428" t="str">
        <f t="shared" si="6"/>
        <v>Adolescnt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Stage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Stage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Stage</v>
      </c>
      <c r="N431" t="s">
        <v>18</v>
      </c>
    </row>
    <row r="432" spans="1:14" hidden="1"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hidden="1" x14ac:dyDescent="0.3">
      <c r="A433">
        <v>28488</v>
      </c>
      <c r="B433" t="s">
        <v>37</v>
      </c>
      <c r="C433" t="s">
        <v>39</v>
      </c>
      <c r="D433" s="3">
        <v>20000</v>
      </c>
      <c r="E433">
        <v>0</v>
      </c>
      <c r="F433" t="s">
        <v>19</v>
      </c>
      <c r="G433" t="s">
        <v>25</v>
      </c>
      <c r="H433" t="s">
        <v>15</v>
      </c>
      <c r="I433">
        <v>0</v>
      </c>
      <c r="J433" t="s">
        <v>16</v>
      </c>
      <c r="K433" t="s">
        <v>24</v>
      </c>
      <c r="L433">
        <v>28</v>
      </c>
      <c r="M433" t="str">
        <f t="shared" si="6"/>
        <v>Adolescnt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Stage</v>
      </c>
      <c r="N434" t="s">
        <v>15</v>
      </c>
    </row>
    <row r="435" spans="1:14" hidden="1" x14ac:dyDescent="0.3">
      <c r="A435">
        <v>27814</v>
      </c>
      <c r="B435" t="s">
        <v>37</v>
      </c>
      <c r="C435" t="s">
        <v>38</v>
      </c>
      <c r="D435" s="3">
        <v>30000</v>
      </c>
      <c r="E435">
        <v>3</v>
      </c>
      <c r="F435" t="s">
        <v>19</v>
      </c>
      <c r="G435" t="s">
        <v>20</v>
      </c>
      <c r="H435" t="s">
        <v>18</v>
      </c>
      <c r="I435">
        <v>1</v>
      </c>
      <c r="J435" t="s">
        <v>16</v>
      </c>
      <c r="K435" t="s">
        <v>17</v>
      </c>
      <c r="L435">
        <v>26</v>
      </c>
      <c r="M435" t="str">
        <f t="shared" si="6"/>
        <v>Adolescnt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Stage</v>
      </c>
      <c r="N436" t="s">
        <v>15</v>
      </c>
    </row>
    <row r="437" spans="1:14" hidden="1"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Stage</v>
      </c>
      <c r="N438" t="s">
        <v>15</v>
      </c>
    </row>
    <row r="439" spans="1:14" hidden="1" x14ac:dyDescent="0.3">
      <c r="A439">
        <v>27824</v>
      </c>
      <c r="B439" t="s">
        <v>37</v>
      </c>
      <c r="C439" t="s">
        <v>38</v>
      </c>
      <c r="D439" s="3">
        <v>30000</v>
      </c>
      <c r="E439">
        <v>3</v>
      </c>
      <c r="F439" t="s">
        <v>19</v>
      </c>
      <c r="G439" t="s">
        <v>20</v>
      </c>
      <c r="H439" t="s">
        <v>15</v>
      </c>
      <c r="I439">
        <v>2</v>
      </c>
      <c r="J439" t="s">
        <v>16</v>
      </c>
      <c r="K439" t="s">
        <v>17</v>
      </c>
      <c r="L439">
        <v>28</v>
      </c>
      <c r="M439" t="str">
        <f t="shared" si="6"/>
        <v>Adolescnt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Stage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Stage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Stage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Stage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Stage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Stage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Stage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Stage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Stage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Stage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Stage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Stage",IF(L451&lt;31,"Adolescnt","Invalid")))</f>
        <v>Middle Stage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Stage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Stage</v>
      </c>
      <c r="N453" t="s">
        <v>18</v>
      </c>
    </row>
    <row r="454" spans="1:14" hidden="1"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Stage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Stage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Stage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Stage</v>
      </c>
      <c r="N458" t="s">
        <v>18</v>
      </c>
    </row>
    <row r="459" spans="1:14" hidden="1"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Stage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Stage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Stage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Stage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Stage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Stage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Stage</v>
      </c>
      <c r="N466" t="s">
        <v>15</v>
      </c>
    </row>
    <row r="467" spans="1:14" hidden="1"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Stage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Stage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Stage</v>
      </c>
      <c r="N470" t="s">
        <v>18</v>
      </c>
    </row>
    <row r="471" spans="1:14" hidden="1"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hidden="1" x14ac:dyDescent="0.3">
      <c r="A472">
        <v>15612</v>
      </c>
      <c r="B472" t="s">
        <v>37</v>
      </c>
      <c r="C472" t="s">
        <v>39</v>
      </c>
      <c r="D472" s="3">
        <v>30000</v>
      </c>
      <c r="E472">
        <v>0</v>
      </c>
      <c r="F472" t="s">
        <v>27</v>
      </c>
      <c r="G472" t="s">
        <v>25</v>
      </c>
      <c r="H472" t="s">
        <v>18</v>
      </c>
      <c r="I472">
        <v>1</v>
      </c>
      <c r="J472" t="s">
        <v>26</v>
      </c>
      <c r="K472" t="s">
        <v>17</v>
      </c>
      <c r="L472">
        <v>28</v>
      </c>
      <c r="M472" t="str">
        <f t="shared" si="7"/>
        <v>Adolescnt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Stage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Stage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Stage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Stage</v>
      </c>
      <c r="N476" t="s">
        <v>15</v>
      </c>
    </row>
    <row r="477" spans="1:14" hidden="1"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Stage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Stage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Stage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Stage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Stage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Stage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Stage</v>
      </c>
      <c r="N484" t="s">
        <v>15</v>
      </c>
    </row>
    <row r="485" spans="1:14" hidden="1"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Stage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Stage</v>
      </c>
      <c r="N487" t="s">
        <v>18</v>
      </c>
    </row>
    <row r="488" spans="1:14" hidden="1"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Stage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Stage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Stage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Stage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Stage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Stage</v>
      </c>
      <c r="N494" t="s">
        <v>15</v>
      </c>
    </row>
    <row r="495" spans="1:14" hidden="1"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Stage</v>
      </c>
      <c r="N496" t="s">
        <v>18</v>
      </c>
    </row>
    <row r="497" spans="1:14" hidden="1"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Stage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Stage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Stage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Stage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Stage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Stage</v>
      </c>
      <c r="N503" t="s">
        <v>18</v>
      </c>
    </row>
    <row r="504" spans="1:14" hidden="1" x14ac:dyDescent="0.3">
      <c r="A504">
        <v>15275</v>
      </c>
      <c r="B504" t="s">
        <v>36</v>
      </c>
      <c r="C504" t="s">
        <v>39</v>
      </c>
      <c r="D504" s="3">
        <v>40000</v>
      </c>
      <c r="E504">
        <v>0</v>
      </c>
      <c r="F504" t="s">
        <v>19</v>
      </c>
      <c r="G504" t="s">
        <v>14</v>
      </c>
      <c r="H504" t="s">
        <v>15</v>
      </c>
      <c r="I504">
        <v>1</v>
      </c>
      <c r="J504" t="s">
        <v>23</v>
      </c>
      <c r="K504" t="s">
        <v>32</v>
      </c>
      <c r="L504">
        <v>29</v>
      </c>
      <c r="M504" t="str">
        <f t="shared" si="7"/>
        <v>Adolescnt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Stage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Stage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Stage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Stage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Stage</v>
      </c>
      <c r="N509" t="s">
        <v>15</v>
      </c>
    </row>
    <row r="510" spans="1:14" hidden="1" x14ac:dyDescent="0.3">
      <c r="A510">
        <v>16337</v>
      </c>
      <c r="B510" t="s">
        <v>36</v>
      </c>
      <c r="C510" t="s">
        <v>39</v>
      </c>
      <c r="D510" s="3">
        <v>60000</v>
      </c>
      <c r="E510">
        <v>0</v>
      </c>
      <c r="F510" t="s">
        <v>19</v>
      </c>
      <c r="G510" t="s">
        <v>14</v>
      </c>
      <c r="H510" t="s">
        <v>18</v>
      </c>
      <c r="I510">
        <v>2</v>
      </c>
      <c r="J510" t="s">
        <v>26</v>
      </c>
      <c r="K510" t="s">
        <v>32</v>
      </c>
      <c r="L510">
        <v>29</v>
      </c>
      <c r="M510" t="str">
        <f t="shared" si="7"/>
        <v>Adolescnt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Stage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Stage</v>
      </c>
      <c r="N512" t="s">
        <v>15</v>
      </c>
    </row>
    <row r="513" spans="1:14" hidden="1"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Stage</v>
      </c>
      <c r="N514" t="s">
        <v>15</v>
      </c>
    </row>
    <row r="515" spans="1:14" hidden="1"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Stage",IF(L515&lt;31,"Adolescnt","Invalid")))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Stage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Stage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Stage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Stage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Stage</v>
      </c>
      <c r="N520" t="s">
        <v>15</v>
      </c>
    </row>
    <row r="521" spans="1:14" hidden="1"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Stage</v>
      </c>
      <c r="N522" t="s">
        <v>18</v>
      </c>
    </row>
    <row r="523" spans="1:14" hidden="1"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Stage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Stage</v>
      </c>
      <c r="N525" t="s">
        <v>15</v>
      </c>
    </row>
    <row r="526" spans="1:14" hidden="1"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hidden="1"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Stage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Stage</v>
      </c>
      <c r="N529" t="s">
        <v>18</v>
      </c>
    </row>
    <row r="530" spans="1:14" hidden="1" x14ac:dyDescent="0.3">
      <c r="A530">
        <v>11935</v>
      </c>
      <c r="B530" t="s">
        <v>37</v>
      </c>
      <c r="C530" t="s">
        <v>38</v>
      </c>
      <c r="D530" s="3">
        <v>30000</v>
      </c>
      <c r="E530">
        <v>0</v>
      </c>
      <c r="F530" t="s">
        <v>19</v>
      </c>
      <c r="G530" t="s">
        <v>14</v>
      </c>
      <c r="H530" t="s">
        <v>15</v>
      </c>
      <c r="I530">
        <v>1</v>
      </c>
      <c r="J530" t="s">
        <v>23</v>
      </c>
      <c r="K530" t="s">
        <v>32</v>
      </c>
      <c r="L530">
        <v>28</v>
      </c>
      <c r="M530" t="str">
        <f t="shared" si="8"/>
        <v>Adolescnt</v>
      </c>
      <c r="N530" t="s">
        <v>18</v>
      </c>
    </row>
    <row r="531" spans="1:14" hidden="1"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hidden="1" x14ac:dyDescent="0.3">
      <c r="A532">
        <v>25909</v>
      </c>
      <c r="B532" t="s">
        <v>36</v>
      </c>
      <c r="C532" t="s">
        <v>39</v>
      </c>
      <c r="D532" s="3">
        <v>60000</v>
      </c>
      <c r="E532">
        <v>0</v>
      </c>
      <c r="F532" t="s">
        <v>19</v>
      </c>
      <c r="G532" t="s">
        <v>14</v>
      </c>
      <c r="H532" t="s">
        <v>15</v>
      </c>
      <c r="I532">
        <v>1</v>
      </c>
      <c r="J532" t="s">
        <v>23</v>
      </c>
      <c r="K532" t="s">
        <v>32</v>
      </c>
      <c r="L532">
        <v>27</v>
      </c>
      <c r="M532" t="str">
        <f t="shared" si="8"/>
        <v>Adolescnt</v>
      </c>
      <c r="N532" t="s">
        <v>15</v>
      </c>
    </row>
    <row r="533" spans="1:14" hidden="1" x14ac:dyDescent="0.3">
      <c r="A533">
        <v>14092</v>
      </c>
      <c r="B533" t="s">
        <v>37</v>
      </c>
      <c r="C533" t="s">
        <v>39</v>
      </c>
      <c r="D533" s="3">
        <v>30000</v>
      </c>
      <c r="E533">
        <v>0</v>
      </c>
      <c r="F533" t="s">
        <v>29</v>
      </c>
      <c r="G533" t="s">
        <v>20</v>
      </c>
      <c r="H533" t="s">
        <v>15</v>
      </c>
      <c r="I533">
        <v>2</v>
      </c>
      <c r="J533" t="s">
        <v>23</v>
      </c>
      <c r="K533" t="s">
        <v>32</v>
      </c>
      <c r="L533">
        <v>28</v>
      </c>
      <c r="M533" t="str">
        <f t="shared" si="8"/>
        <v>Adolescnt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Stage</v>
      </c>
      <c r="N534" t="s">
        <v>15</v>
      </c>
    </row>
    <row r="535" spans="1:14" hidden="1"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hidden="1"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Stage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Stage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Stage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Stage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Stage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Stage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Stage</v>
      </c>
      <c r="N543" t="s">
        <v>18</v>
      </c>
    </row>
    <row r="544" spans="1:14" hidden="1" x14ac:dyDescent="0.3">
      <c r="A544">
        <v>11143</v>
      </c>
      <c r="B544" t="s">
        <v>36</v>
      </c>
      <c r="C544" t="s">
        <v>39</v>
      </c>
      <c r="D544" s="3">
        <v>40000</v>
      </c>
      <c r="E544">
        <v>0</v>
      </c>
      <c r="F544" t="s">
        <v>27</v>
      </c>
      <c r="G544" t="s">
        <v>14</v>
      </c>
      <c r="H544" t="s">
        <v>15</v>
      </c>
      <c r="I544">
        <v>2</v>
      </c>
      <c r="J544" t="s">
        <v>23</v>
      </c>
      <c r="K544" t="s">
        <v>32</v>
      </c>
      <c r="L544">
        <v>29</v>
      </c>
      <c r="M544" t="str">
        <f t="shared" si="8"/>
        <v>Adolescnt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Stage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Stage</v>
      </c>
      <c r="N546" t="s">
        <v>18</v>
      </c>
    </row>
    <row r="547" spans="1:14" hidden="1" x14ac:dyDescent="0.3">
      <c r="A547">
        <v>19758</v>
      </c>
      <c r="B547" t="s">
        <v>37</v>
      </c>
      <c r="C547" t="s">
        <v>39</v>
      </c>
      <c r="D547" s="3">
        <v>60000</v>
      </c>
      <c r="E547">
        <v>0</v>
      </c>
      <c r="F547" t="s">
        <v>19</v>
      </c>
      <c r="G547" t="s">
        <v>14</v>
      </c>
      <c r="H547" t="s">
        <v>18</v>
      </c>
      <c r="I547">
        <v>2</v>
      </c>
      <c r="J547" t="s">
        <v>26</v>
      </c>
      <c r="K547" t="s">
        <v>32</v>
      </c>
      <c r="L547">
        <v>29</v>
      </c>
      <c r="M547" t="str">
        <f t="shared" si="8"/>
        <v>Adolescnt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Stage</v>
      </c>
      <c r="N548" t="s">
        <v>15</v>
      </c>
    </row>
    <row r="549" spans="1:14" hidden="1"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Stage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Stage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Stage</v>
      </c>
      <c r="N552" t="s">
        <v>15</v>
      </c>
    </row>
    <row r="553" spans="1:14" hidden="1"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Stage</v>
      </c>
      <c r="N554" t="s">
        <v>15</v>
      </c>
    </row>
    <row r="555" spans="1:14" hidden="1"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Stage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Stage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Stage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Stage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Stage</v>
      </c>
      <c r="N560" t="s">
        <v>18</v>
      </c>
    </row>
    <row r="561" spans="1:14" hidden="1"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Stage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Stage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Stage</v>
      </c>
      <c r="N564" t="s">
        <v>15</v>
      </c>
    </row>
    <row r="565" spans="1:14" hidden="1" x14ac:dyDescent="0.3">
      <c r="A565">
        <v>25006</v>
      </c>
      <c r="B565" t="s">
        <v>37</v>
      </c>
      <c r="C565" t="s">
        <v>38</v>
      </c>
      <c r="D565" s="3">
        <v>30000</v>
      </c>
      <c r="E565">
        <v>0</v>
      </c>
      <c r="F565" t="s">
        <v>19</v>
      </c>
      <c r="G565" t="s">
        <v>14</v>
      </c>
      <c r="H565" t="s">
        <v>15</v>
      </c>
      <c r="I565">
        <v>1</v>
      </c>
      <c r="J565" t="s">
        <v>23</v>
      </c>
      <c r="K565" t="s">
        <v>32</v>
      </c>
      <c r="L565">
        <v>28</v>
      </c>
      <c r="M565" t="str">
        <f t="shared" si="8"/>
        <v>Adolescnt</v>
      </c>
      <c r="N565" t="s">
        <v>18</v>
      </c>
    </row>
    <row r="566" spans="1:14" hidden="1" x14ac:dyDescent="0.3">
      <c r="A566">
        <v>17369</v>
      </c>
      <c r="B566" t="s">
        <v>37</v>
      </c>
      <c r="C566" t="s">
        <v>39</v>
      </c>
      <c r="D566" s="3">
        <v>30000</v>
      </c>
      <c r="E566">
        <v>0</v>
      </c>
      <c r="F566" t="s">
        <v>19</v>
      </c>
      <c r="G566" t="s">
        <v>14</v>
      </c>
      <c r="H566" t="s">
        <v>15</v>
      </c>
      <c r="I566">
        <v>1</v>
      </c>
      <c r="J566" t="s">
        <v>23</v>
      </c>
      <c r="K566" t="s">
        <v>32</v>
      </c>
      <c r="L566">
        <v>27</v>
      </c>
      <c r="M566" t="str">
        <f t="shared" si="8"/>
        <v>Adolescnt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Stage</v>
      </c>
      <c r="N567" t="s">
        <v>15</v>
      </c>
    </row>
    <row r="568" spans="1:14" hidden="1"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Stage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Stage</v>
      </c>
      <c r="N570" t="s">
        <v>15</v>
      </c>
    </row>
    <row r="571" spans="1:14" hidden="1"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Stage</v>
      </c>
      <c r="N572" t="s">
        <v>18</v>
      </c>
    </row>
    <row r="573" spans="1:14" hidden="1"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hidden="1" x14ac:dyDescent="0.3">
      <c r="A574">
        <v>23549</v>
      </c>
      <c r="B574" t="s">
        <v>37</v>
      </c>
      <c r="C574" t="s">
        <v>39</v>
      </c>
      <c r="D574" s="3">
        <v>30000</v>
      </c>
      <c r="E574">
        <v>0</v>
      </c>
      <c r="F574" t="s">
        <v>27</v>
      </c>
      <c r="G574" t="s">
        <v>14</v>
      </c>
      <c r="H574" t="s">
        <v>15</v>
      </c>
      <c r="I574">
        <v>2</v>
      </c>
      <c r="J574" t="s">
        <v>23</v>
      </c>
      <c r="K574" t="s">
        <v>32</v>
      </c>
      <c r="L574">
        <v>30</v>
      </c>
      <c r="M574" t="str">
        <f t="shared" si="8"/>
        <v>Adolescnt</v>
      </c>
      <c r="N574" t="s">
        <v>18</v>
      </c>
    </row>
    <row r="575" spans="1:14" hidden="1"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Stage</v>
      </c>
      <c r="N576" t="s">
        <v>15</v>
      </c>
    </row>
    <row r="577" spans="1:14" hidden="1"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Stage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Stage",IF(L579&lt;31,"Adolescnt","Invalid")))</f>
        <v>Middle Stage</v>
      </c>
      <c r="N579" t="s">
        <v>18</v>
      </c>
    </row>
    <row r="580" spans="1:14" hidden="1"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Stage</v>
      </c>
      <c r="N581" t="s">
        <v>18</v>
      </c>
    </row>
    <row r="582" spans="1:14" hidden="1"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hidden="1" x14ac:dyDescent="0.3">
      <c r="A583">
        <v>23089</v>
      </c>
      <c r="B583" t="s">
        <v>36</v>
      </c>
      <c r="C583" t="s">
        <v>39</v>
      </c>
      <c r="D583" s="3">
        <v>40000</v>
      </c>
      <c r="E583">
        <v>0</v>
      </c>
      <c r="F583" t="s">
        <v>19</v>
      </c>
      <c r="G583" t="s">
        <v>14</v>
      </c>
      <c r="H583" t="s">
        <v>15</v>
      </c>
      <c r="I583">
        <v>1</v>
      </c>
      <c r="J583" t="s">
        <v>23</v>
      </c>
      <c r="K583" t="s">
        <v>32</v>
      </c>
      <c r="L583">
        <v>28</v>
      </c>
      <c r="M583" t="str">
        <f t="shared" si="9"/>
        <v>Adolescnt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Stage</v>
      </c>
      <c r="N584" t="s">
        <v>18</v>
      </c>
    </row>
    <row r="585" spans="1:14" hidden="1"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Stage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Stage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Stage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Stage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Stage</v>
      </c>
      <c r="N590" t="s">
        <v>15</v>
      </c>
    </row>
    <row r="591" spans="1:14" hidden="1"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Stage</v>
      </c>
      <c r="N592" t="s">
        <v>15</v>
      </c>
    </row>
    <row r="593" spans="1:14" hidden="1"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Stage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Stage</v>
      </c>
      <c r="N595" t="s">
        <v>15</v>
      </c>
    </row>
    <row r="596" spans="1:14" hidden="1"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hidden="1"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Stage</v>
      </c>
      <c r="N598" t="s">
        <v>18</v>
      </c>
    </row>
    <row r="599" spans="1:14" hidden="1"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Stage</v>
      </c>
      <c r="N600" t="s">
        <v>18</v>
      </c>
    </row>
    <row r="601" spans="1:14" hidden="1"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Stage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Stage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Stage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Stage</v>
      </c>
      <c r="N605" t="s">
        <v>15</v>
      </c>
    </row>
    <row r="606" spans="1:14" hidden="1" x14ac:dyDescent="0.3">
      <c r="A606">
        <v>25261</v>
      </c>
      <c r="B606" t="s">
        <v>36</v>
      </c>
      <c r="C606" t="s">
        <v>39</v>
      </c>
      <c r="D606" s="3">
        <v>40000</v>
      </c>
      <c r="E606">
        <v>0</v>
      </c>
      <c r="F606" t="s">
        <v>27</v>
      </c>
      <c r="G606" t="s">
        <v>14</v>
      </c>
      <c r="H606" t="s">
        <v>15</v>
      </c>
      <c r="I606">
        <v>2</v>
      </c>
      <c r="J606" t="s">
        <v>23</v>
      </c>
      <c r="K606" t="s">
        <v>32</v>
      </c>
      <c r="L606">
        <v>27</v>
      </c>
      <c r="M606" t="str">
        <f t="shared" si="9"/>
        <v>Adolescnt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Stage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Stage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Stage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Stage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Stage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Stage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Stage</v>
      </c>
      <c r="N613" t="s">
        <v>15</v>
      </c>
    </row>
    <row r="614" spans="1:14" hidden="1" x14ac:dyDescent="0.3">
      <c r="A614">
        <v>22983</v>
      </c>
      <c r="B614" t="s">
        <v>37</v>
      </c>
      <c r="C614" t="s">
        <v>38</v>
      </c>
      <c r="D614" s="3">
        <v>30000</v>
      </c>
      <c r="E614">
        <v>0</v>
      </c>
      <c r="F614" t="s">
        <v>29</v>
      </c>
      <c r="G614" t="s">
        <v>20</v>
      </c>
      <c r="H614" t="s">
        <v>15</v>
      </c>
      <c r="I614">
        <v>2</v>
      </c>
      <c r="J614" t="s">
        <v>23</v>
      </c>
      <c r="K614" t="s">
        <v>32</v>
      </c>
      <c r="L614">
        <v>27</v>
      </c>
      <c r="M614" t="str">
        <f t="shared" si="9"/>
        <v>Adolescnt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Stage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Stage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Stage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Stage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Stage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Stage</v>
      </c>
      <c r="N620" t="s">
        <v>18</v>
      </c>
    </row>
    <row r="621" spans="1:14" hidden="1" x14ac:dyDescent="0.3">
      <c r="A621">
        <v>15814</v>
      </c>
      <c r="B621" t="s">
        <v>37</v>
      </c>
      <c r="C621" t="s">
        <v>38</v>
      </c>
      <c r="D621" s="3">
        <v>40000</v>
      </c>
      <c r="E621">
        <v>0</v>
      </c>
      <c r="F621" t="s">
        <v>27</v>
      </c>
      <c r="G621" t="s">
        <v>14</v>
      </c>
      <c r="H621" t="s">
        <v>15</v>
      </c>
      <c r="I621">
        <v>1</v>
      </c>
      <c r="J621" t="s">
        <v>23</v>
      </c>
      <c r="K621" t="s">
        <v>32</v>
      </c>
      <c r="L621">
        <v>30</v>
      </c>
      <c r="M621" t="str">
        <f t="shared" si="9"/>
        <v>Adolescnt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Stage</v>
      </c>
      <c r="N622" t="s">
        <v>15</v>
      </c>
    </row>
    <row r="623" spans="1:14" hidden="1"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Stage</v>
      </c>
      <c r="N624" t="s">
        <v>18</v>
      </c>
    </row>
    <row r="625" spans="1:14" hidden="1"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hidden="1" x14ac:dyDescent="0.3">
      <c r="A626">
        <v>25943</v>
      </c>
      <c r="B626" t="s">
        <v>37</v>
      </c>
      <c r="C626" t="s">
        <v>38</v>
      </c>
      <c r="D626" s="3">
        <v>70000</v>
      </c>
      <c r="E626">
        <v>0</v>
      </c>
      <c r="F626" t="s">
        <v>19</v>
      </c>
      <c r="G626" t="s">
        <v>14</v>
      </c>
      <c r="H626" t="s">
        <v>18</v>
      </c>
      <c r="I626">
        <v>2</v>
      </c>
      <c r="J626" t="s">
        <v>16</v>
      </c>
      <c r="K626" t="s">
        <v>32</v>
      </c>
      <c r="L626">
        <v>27</v>
      </c>
      <c r="M626" t="str">
        <f t="shared" si="9"/>
        <v>Adolescnt</v>
      </c>
      <c r="N626" t="s">
        <v>15</v>
      </c>
    </row>
    <row r="627" spans="1:14" hidden="1"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hidden="1" x14ac:dyDescent="0.3">
      <c r="A628">
        <v>20414</v>
      </c>
      <c r="B628" t="s">
        <v>36</v>
      </c>
      <c r="C628" t="s">
        <v>38</v>
      </c>
      <c r="D628" s="3">
        <v>60000</v>
      </c>
      <c r="E628">
        <v>0</v>
      </c>
      <c r="F628" t="s">
        <v>19</v>
      </c>
      <c r="G628" t="s">
        <v>14</v>
      </c>
      <c r="H628" t="s">
        <v>15</v>
      </c>
      <c r="I628">
        <v>2</v>
      </c>
      <c r="J628" t="s">
        <v>23</v>
      </c>
      <c r="K628" t="s">
        <v>32</v>
      </c>
      <c r="L628">
        <v>29</v>
      </c>
      <c r="M628" t="str">
        <f t="shared" si="9"/>
        <v>Adolescnt</v>
      </c>
      <c r="N628" t="s">
        <v>18</v>
      </c>
    </row>
    <row r="629" spans="1:14" hidden="1"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Stage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Stage</v>
      </c>
      <c r="N631" t="s">
        <v>18</v>
      </c>
    </row>
    <row r="632" spans="1:14" hidden="1" x14ac:dyDescent="0.3">
      <c r="A632">
        <v>27753</v>
      </c>
      <c r="B632" t="s">
        <v>36</v>
      </c>
      <c r="C632" t="s">
        <v>39</v>
      </c>
      <c r="D632" s="3">
        <v>40000</v>
      </c>
      <c r="E632">
        <v>0</v>
      </c>
      <c r="F632" t="s">
        <v>27</v>
      </c>
      <c r="G632" t="s">
        <v>14</v>
      </c>
      <c r="H632" t="s">
        <v>18</v>
      </c>
      <c r="I632">
        <v>2</v>
      </c>
      <c r="J632" t="s">
        <v>26</v>
      </c>
      <c r="K632" t="s">
        <v>32</v>
      </c>
      <c r="L632">
        <v>30</v>
      </c>
      <c r="M632" t="str">
        <f t="shared" si="9"/>
        <v>Adolescnt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Stage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Stage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Stage</v>
      </c>
      <c r="N635" t="s">
        <v>15</v>
      </c>
    </row>
    <row r="636" spans="1:14" hidden="1"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Stage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Stage</v>
      </c>
      <c r="N638" t="s">
        <v>15</v>
      </c>
    </row>
    <row r="639" spans="1:14" hidden="1" x14ac:dyDescent="0.3">
      <c r="A639">
        <v>15272</v>
      </c>
      <c r="B639" t="s">
        <v>37</v>
      </c>
      <c r="C639" t="s">
        <v>39</v>
      </c>
      <c r="D639" s="3">
        <v>40000</v>
      </c>
      <c r="E639">
        <v>0</v>
      </c>
      <c r="F639" t="s">
        <v>27</v>
      </c>
      <c r="G639" t="s">
        <v>14</v>
      </c>
      <c r="H639" t="s">
        <v>18</v>
      </c>
      <c r="I639">
        <v>2</v>
      </c>
      <c r="J639" t="s">
        <v>26</v>
      </c>
      <c r="K639" t="s">
        <v>32</v>
      </c>
      <c r="L639">
        <v>30</v>
      </c>
      <c r="M639" t="str">
        <f t="shared" si="9"/>
        <v>Adolescnt</v>
      </c>
      <c r="N639" t="s">
        <v>18</v>
      </c>
    </row>
    <row r="640" spans="1:14" hidden="1"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hidden="1"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hidden="1"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hidden="1"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Stage",IF(L643&lt;31,"Adolescnt","Invalid")))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Stage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Stage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Stage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Stage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Stage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Stage</v>
      </c>
      <c r="N649" t="s">
        <v>18</v>
      </c>
    </row>
    <row r="650" spans="1:14" hidden="1"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Stage</v>
      </c>
      <c r="N651" t="s">
        <v>15</v>
      </c>
    </row>
    <row r="652" spans="1:14" hidden="1"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Stage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Stage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Stage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Stage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Stage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Stage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Stage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Stage</v>
      </c>
      <c r="N660" t="s">
        <v>15</v>
      </c>
    </row>
    <row r="661" spans="1:14" hidden="1"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Stage</v>
      </c>
      <c r="N662" t="s">
        <v>15</v>
      </c>
    </row>
    <row r="663" spans="1:14" hidden="1" x14ac:dyDescent="0.3">
      <c r="A663">
        <v>22976</v>
      </c>
      <c r="B663" t="s">
        <v>37</v>
      </c>
      <c r="C663" t="s">
        <v>39</v>
      </c>
      <c r="D663" s="3">
        <v>40000</v>
      </c>
      <c r="E663">
        <v>0</v>
      </c>
      <c r="F663" t="s">
        <v>27</v>
      </c>
      <c r="G663" t="s">
        <v>14</v>
      </c>
      <c r="H663" t="s">
        <v>18</v>
      </c>
      <c r="I663">
        <v>2</v>
      </c>
      <c r="J663" t="s">
        <v>16</v>
      </c>
      <c r="K663" t="s">
        <v>32</v>
      </c>
      <c r="L663">
        <v>28</v>
      </c>
      <c r="M663" t="str">
        <f t="shared" si="10"/>
        <v>Adolescnt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Stage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Stage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Stage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Stage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Stage</v>
      </c>
      <c r="N668" t="s">
        <v>15</v>
      </c>
    </row>
    <row r="669" spans="1:14" hidden="1"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Stage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Stage</v>
      </c>
      <c r="N671" t="s">
        <v>18</v>
      </c>
    </row>
    <row r="672" spans="1:14" hidden="1"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Stage</v>
      </c>
      <c r="N673" t="s">
        <v>15</v>
      </c>
    </row>
    <row r="674" spans="1:14" hidden="1" x14ac:dyDescent="0.3">
      <c r="A674">
        <v>21260</v>
      </c>
      <c r="B674" t="s">
        <v>37</v>
      </c>
      <c r="C674" t="s">
        <v>38</v>
      </c>
      <c r="D674" s="3">
        <v>40000</v>
      </c>
      <c r="E674">
        <v>0</v>
      </c>
      <c r="F674" t="s">
        <v>27</v>
      </c>
      <c r="G674" t="s">
        <v>14</v>
      </c>
      <c r="H674" t="s">
        <v>15</v>
      </c>
      <c r="I674">
        <v>2</v>
      </c>
      <c r="J674" t="s">
        <v>23</v>
      </c>
      <c r="K674" t="s">
        <v>32</v>
      </c>
      <c r="L674">
        <v>30</v>
      </c>
      <c r="M674" t="str">
        <f t="shared" si="10"/>
        <v>Adolescnt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Stage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Stage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Stage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Stage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Stage</v>
      </c>
      <c r="N679" t="s">
        <v>18</v>
      </c>
    </row>
    <row r="680" spans="1:14" hidden="1"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hidden="1"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Stage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Stage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Stage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Stage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Stage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Stage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Stage</v>
      </c>
      <c r="N688" t="s">
        <v>15</v>
      </c>
    </row>
    <row r="689" spans="1:14" hidden="1" x14ac:dyDescent="0.3">
      <c r="A689">
        <v>18910</v>
      </c>
      <c r="B689" t="s">
        <v>37</v>
      </c>
      <c r="C689" t="s">
        <v>39</v>
      </c>
      <c r="D689" s="3">
        <v>30000</v>
      </c>
      <c r="E689">
        <v>0</v>
      </c>
      <c r="F689" t="s">
        <v>19</v>
      </c>
      <c r="G689" t="s">
        <v>14</v>
      </c>
      <c r="H689" t="s">
        <v>15</v>
      </c>
      <c r="I689">
        <v>2</v>
      </c>
      <c r="J689" t="s">
        <v>23</v>
      </c>
      <c r="K689" t="s">
        <v>32</v>
      </c>
      <c r="L689">
        <v>30</v>
      </c>
      <c r="M689" t="str">
        <f t="shared" si="10"/>
        <v>Adolescnt</v>
      </c>
      <c r="N689" t="s">
        <v>18</v>
      </c>
    </row>
    <row r="690" spans="1:14" hidden="1" x14ac:dyDescent="0.3">
      <c r="A690">
        <v>11699</v>
      </c>
      <c r="B690" t="s">
        <v>37</v>
      </c>
      <c r="C690" t="s">
        <v>39</v>
      </c>
      <c r="D690" s="3">
        <v>60000</v>
      </c>
      <c r="E690">
        <v>0</v>
      </c>
      <c r="F690" t="s">
        <v>13</v>
      </c>
      <c r="G690" t="s">
        <v>14</v>
      </c>
      <c r="H690" t="s">
        <v>18</v>
      </c>
      <c r="I690">
        <v>2</v>
      </c>
      <c r="J690" t="s">
        <v>16</v>
      </c>
      <c r="K690" t="s">
        <v>32</v>
      </c>
      <c r="L690">
        <v>30</v>
      </c>
      <c r="M690" t="str">
        <f t="shared" si="10"/>
        <v>Adolescnt</v>
      </c>
      <c r="N690" t="s">
        <v>18</v>
      </c>
    </row>
    <row r="691" spans="1:14" hidden="1" x14ac:dyDescent="0.3">
      <c r="A691">
        <v>16725</v>
      </c>
      <c r="B691" t="s">
        <v>36</v>
      </c>
      <c r="C691" t="s">
        <v>39</v>
      </c>
      <c r="D691" s="3">
        <v>30000</v>
      </c>
      <c r="E691">
        <v>0</v>
      </c>
      <c r="F691" t="s">
        <v>27</v>
      </c>
      <c r="G691" t="s">
        <v>14</v>
      </c>
      <c r="H691" t="s">
        <v>15</v>
      </c>
      <c r="I691">
        <v>2</v>
      </c>
      <c r="J691" t="s">
        <v>23</v>
      </c>
      <c r="K691" t="s">
        <v>32</v>
      </c>
      <c r="L691">
        <v>26</v>
      </c>
      <c r="M691" t="str">
        <f t="shared" si="10"/>
        <v>Adolescnt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Stage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Stage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Stage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Stage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Stage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Stage</v>
      </c>
      <c r="N697" t="s">
        <v>18</v>
      </c>
    </row>
    <row r="698" spans="1:14" hidden="1" x14ac:dyDescent="0.3">
      <c r="A698">
        <v>29112</v>
      </c>
      <c r="B698" t="s">
        <v>37</v>
      </c>
      <c r="C698" t="s">
        <v>39</v>
      </c>
      <c r="D698" s="3">
        <v>60000</v>
      </c>
      <c r="E698">
        <v>0</v>
      </c>
      <c r="F698" t="s">
        <v>19</v>
      </c>
      <c r="G698" t="s">
        <v>21</v>
      </c>
      <c r="H698" t="s">
        <v>18</v>
      </c>
      <c r="I698">
        <v>2</v>
      </c>
      <c r="J698" t="s">
        <v>26</v>
      </c>
      <c r="K698" t="s">
        <v>32</v>
      </c>
      <c r="L698">
        <v>30</v>
      </c>
      <c r="M698" t="str">
        <f t="shared" si="10"/>
        <v>Adolescnt</v>
      </c>
      <c r="N698" t="s">
        <v>18</v>
      </c>
    </row>
    <row r="699" spans="1:14" hidden="1" x14ac:dyDescent="0.3">
      <c r="A699">
        <v>14090</v>
      </c>
      <c r="B699" t="s">
        <v>36</v>
      </c>
      <c r="C699" t="s">
        <v>38</v>
      </c>
      <c r="D699" s="3">
        <v>30000</v>
      </c>
      <c r="E699">
        <v>0</v>
      </c>
      <c r="F699" t="s">
        <v>29</v>
      </c>
      <c r="G699" t="s">
        <v>20</v>
      </c>
      <c r="H699" t="s">
        <v>18</v>
      </c>
      <c r="I699">
        <v>2</v>
      </c>
      <c r="J699" t="s">
        <v>16</v>
      </c>
      <c r="K699" t="s">
        <v>32</v>
      </c>
      <c r="L699">
        <v>28</v>
      </c>
      <c r="M699" t="str">
        <f t="shared" si="10"/>
        <v>Adolescnt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Stage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Stage</v>
      </c>
      <c r="N701" t="s">
        <v>15</v>
      </c>
    </row>
    <row r="702" spans="1:14" hidden="1"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hidden="1" x14ac:dyDescent="0.3">
      <c r="A703">
        <v>22014</v>
      </c>
      <c r="B703" t="s">
        <v>37</v>
      </c>
      <c r="C703" t="s">
        <v>39</v>
      </c>
      <c r="D703" s="3">
        <v>30000</v>
      </c>
      <c r="E703">
        <v>0</v>
      </c>
      <c r="F703" t="s">
        <v>27</v>
      </c>
      <c r="G703" t="s">
        <v>14</v>
      </c>
      <c r="H703" t="s">
        <v>15</v>
      </c>
      <c r="I703">
        <v>2</v>
      </c>
      <c r="J703" t="s">
        <v>23</v>
      </c>
      <c r="K703" t="s">
        <v>32</v>
      </c>
      <c r="L703">
        <v>26</v>
      </c>
      <c r="M703" t="str">
        <f t="shared" si="10"/>
        <v>Adolescnt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Stage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Stage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Stage</v>
      </c>
      <c r="N706" t="s">
        <v>15</v>
      </c>
    </row>
    <row r="707" spans="1:14" hidden="1"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Stage",IF(L707&lt;31,"Adolescnt","Invalid")))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Stage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Stage</v>
      </c>
      <c r="N709" t="s">
        <v>15</v>
      </c>
    </row>
    <row r="710" spans="1:14" hidden="1"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hidden="1"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Stage</v>
      </c>
      <c r="N712" t="s">
        <v>15</v>
      </c>
    </row>
    <row r="713" spans="1:14" hidden="1"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hidden="1"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Stage</v>
      </c>
      <c r="N715" t="s">
        <v>18</v>
      </c>
    </row>
    <row r="716" spans="1:14" hidden="1" x14ac:dyDescent="0.3">
      <c r="A716">
        <v>16020</v>
      </c>
      <c r="B716" t="s">
        <v>36</v>
      </c>
      <c r="C716" t="s">
        <v>39</v>
      </c>
      <c r="D716" s="3">
        <v>40000</v>
      </c>
      <c r="E716">
        <v>0</v>
      </c>
      <c r="F716" t="s">
        <v>27</v>
      </c>
      <c r="G716" t="s">
        <v>14</v>
      </c>
      <c r="H716" t="s">
        <v>15</v>
      </c>
      <c r="I716">
        <v>2</v>
      </c>
      <c r="J716" t="s">
        <v>23</v>
      </c>
      <c r="K716" t="s">
        <v>32</v>
      </c>
      <c r="L716">
        <v>28</v>
      </c>
      <c r="M716" t="str">
        <f t="shared" si="11"/>
        <v>Adolescnt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Stage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Stage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Stage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Stage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Stage</v>
      </c>
      <c r="N721" t="s">
        <v>18</v>
      </c>
    </row>
    <row r="722" spans="1:14" hidden="1"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Stage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Stage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Stage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Stage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Stage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Stage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Stage</v>
      </c>
      <c r="N729" t="s">
        <v>15</v>
      </c>
    </row>
    <row r="730" spans="1:14" hidden="1" x14ac:dyDescent="0.3">
      <c r="A730">
        <v>27731</v>
      </c>
      <c r="B730" t="s">
        <v>36</v>
      </c>
      <c r="C730" t="s">
        <v>39</v>
      </c>
      <c r="D730" s="3">
        <v>40000</v>
      </c>
      <c r="E730">
        <v>0</v>
      </c>
      <c r="F730" t="s">
        <v>27</v>
      </c>
      <c r="G730" t="s">
        <v>14</v>
      </c>
      <c r="H730" t="s">
        <v>15</v>
      </c>
      <c r="I730">
        <v>2</v>
      </c>
      <c r="J730" t="s">
        <v>23</v>
      </c>
      <c r="K730" t="s">
        <v>32</v>
      </c>
      <c r="L730">
        <v>27</v>
      </c>
      <c r="M730" t="str">
        <f t="shared" si="11"/>
        <v>Adolescnt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Stage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Stage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Stage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Stage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Stage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Stage</v>
      </c>
      <c r="N736" t="s">
        <v>15</v>
      </c>
    </row>
    <row r="737" spans="1:14" hidden="1" x14ac:dyDescent="0.3">
      <c r="A737">
        <v>14514</v>
      </c>
      <c r="B737" t="s">
        <v>37</v>
      </c>
      <c r="C737" t="s">
        <v>38</v>
      </c>
      <c r="D737" s="3">
        <v>30000</v>
      </c>
      <c r="E737">
        <v>0</v>
      </c>
      <c r="F737" t="s">
        <v>19</v>
      </c>
      <c r="G737" t="s">
        <v>14</v>
      </c>
      <c r="H737" t="s">
        <v>15</v>
      </c>
      <c r="I737">
        <v>1</v>
      </c>
      <c r="J737" t="s">
        <v>23</v>
      </c>
      <c r="K737" t="s">
        <v>32</v>
      </c>
      <c r="L737">
        <v>26</v>
      </c>
      <c r="M737" t="str">
        <f t="shared" si="11"/>
        <v>Adolescnt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Stage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Stage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Stage</v>
      </c>
      <c r="N740" t="s">
        <v>15</v>
      </c>
    </row>
    <row r="741" spans="1:14" hidden="1"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hidden="1" x14ac:dyDescent="0.3">
      <c r="A742">
        <v>17657</v>
      </c>
      <c r="B742" t="s">
        <v>36</v>
      </c>
      <c r="C742" t="s">
        <v>39</v>
      </c>
      <c r="D742" s="3">
        <v>40000</v>
      </c>
      <c r="E742">
        <v>4</v>
      </c>
      <c r="F742" t="s">
        <v>19</v>
      </c>
      <c r="G742" t="s">
        <v>20</v>
      </c>
      <c r="H742" t="s">
        <v>18</v>
      </c>
      <c r="I742">
        <v>0</v>
      </c>
      <c r="J742" t="s">
        <v>16</v>
      </c>
      <c r="K742" t="s">
        <v>32</v>
      </c>
      <c r="L742">
        <v>30</v>
      </c>
      <c r="M742" t="str">
        <f t="shared" si="11"/>
        <v>Adolescnt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Stage</v>
      </c>
      <c r="N743" t="s">
        <v>15</v>
      </c>
    </row>
    <row r="744" spans="1:14" hidden="1" x14ac:dyDescent="0.3">
      <c r="A744">
        <v>14077</v>
      </c>
      <c r="B744" t="s">
        <v>37</v>
      </c>
      <c r="C744" t="s">
        <v>39</v>
      </c>
      <c r="D744" s="3">
        <v>30000</v>
      </c>
      <c r="E744">
        <v>0</v>
      </c>
      <c r="F744" t="s">
        <v>27</v>
      </c>
      <c r="G744" t="s">
        <v>14</v>
      </c>
      <c r="H744" t="s">
        <v>15</v>
      </c>
      <c r="I744">
        <v>2</v>
      </c>
      <c r="J744" t="s">
        <v>23</v>
      </c>
      <c r="K744" t="s">
        <v>32</v>
      </c>
      <c r="L744">
        <v>30</v>
      </c>
      <c r="M744" t="str">
        <f t="shared" si="11"/>
        <v>Adolescnt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Stage</v>
      </c>
      <c r="N745" t="s">
        <v>18</v>
      </c>
    </row>
    <row r="746" spans="1:14" hidden="1"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Stage</v>
      </c>
      <c r="N747" t="s">
        <v>15</v>
      </c>
    </row>
    <row r="748" spans="1:14" hidden="1"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Stage</v>
      </c>
      <c r="N749" t="s">
        <v>18</v>
      </c>
    </row>
    <row r="750" spans="1:14" hidden="1"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hidden="1"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Stage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Stage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Stage</v>
      </c>
      <c r="N754" t="s">
        <v>18</v>
      </c>
    </row>
    <row r="755" spans="1:14" hidden="1" x14ac:dyDescent="0.3">
      <c r="A755">
        <v>28087</v>
      </c>
      <c r="B755" t="s">
        <v>37</v>
      </c>
      <c r="C755" t="s">
        <v>38</v>
      </c>
      <c r="D755" s="3">
        <v>40000</v>
      </c>
      <c r="E755">
        <v>0</v>
      </c>
      <c r="F755" t="s">
        <v>19</v>
      </c>
      <c r="G755" t="s">
        <v>14</v>
      </c>
      <c r="H755" t="s">
        <v>18</v>
      </c>
      <c r="I755">
        <v>1</v>
      </c>
      <c r="J755" t="s">
        <v>26</v>
      </c>
      <c r="K755" t="s">
        <v>32</v>
      </c>
      <c r="L755">
        <v>27</v>
      </c>
      <c r="M755" t="str">
        <f t="shared" si="11"/>
        <v>Adolescnt</v>
      </c>
      <c r="N755" t="s">
        <v>18</v>
      </c>
    </row>
    <row r="756" spans="1:14" hidden="1"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Stage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Stage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Stage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Stage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Stage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Stage</v>
      </c>
      <c r="N762" t="s">
        <v>18</v>
      </c>
    </row>
    <row r="763" spans="1:14" hidden="1"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Stage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Stage</v>
      </c>
      <c r="N765" t="s">
        <v>15</v>
      </c>
    </row>
    <row r="766" spans="1:14" hidden="1" x14ac:dyDescent="0.3">
      <c r="A766">
        <v>25908</v>
      </c>
      <c r="B766" t="s">
        <v>36</v>
      </c>
      <c r="C766" t="s">
        <v>38</v>
      </c>
      <c r="D766" s="3">
        <v>60000</v>
      </c>
      <c r="E766">
        <v>0</v>
      </c>
      <c r="F766" t="s">
        <v>19</v>
      </c>
      <c r="G766" t="s">
        <v>14</v>
      </c>
      <c r="H766" t="s">
        <v>18</v>
      </c>
      <c r="I766">
        <v>1</v>
      </c>
      <c r="J766" t="s">
        <v>26</v>
      </c>
      <c r="K766" t="s">
        <v>32</v>
      </c>
      <c r="L766">
        <v>27</v>
      </c>
      <c r="M766" t="str">
        <f t="shared" si="11"/>
        <v>Adolescnt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Stage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Stage</v>
      </c>
      <c r="N768" t="s">
        <v>18</v>
      </c>
    </row>
    <row r="769" spans="1:14" hidden="1"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Stage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Stage",IF(L771&lt;31,"Adolescnt","Invalid")))</f>
        <v>Middle Stage</v>
      </c>
      <c r="N771" t="s">
        <v>18</v>
      </c>
    </row>
    <row r="772" spans="1:14" hidden="1"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Stage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Stage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Stage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Stage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Stage</v>
      </c>
      <c r="N777" t="s">
        <v>18</v>
      </c>
    </row>
    <row r="778" spans="1:14" hidden="1"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hidden="1" x14ac:dyDescent="0.3">
      <c r="A779">
        <v>13151</v>
      </c>
      <c r="B779" t="s">
        <v>37</v>
      </c>
      <c r="C779" t="s">
        <v>39</v>
      </c>
      <c r="D779" s="3">
        <v>40000</v>
      </c>
      <c r="E779">
        <v>0</v>
      </c>
      <c r="F779" t="s">
        <v>27</v>
      </c>
      <c r="G779" t="s">
        <v>14</v>
      </c>
      <c r="H779" t="s">
        <v>15</v>
      </c>
      <c r="I779">
        <v>2</v>
      </c>
      <c r="J779" t="s">
        <v>23</v>
      </c>
      <c r="K779" t="s">
        <v>32</v>
      </c>
      <c r="L779">
        <v>27</v>
      </c>
      <c r="M779" t="str">
        <f t="shared" si="12"/>
        <v>Adolescnt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Stage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Stage</v>
      </c>
      <c r="N781" t="s">
        <v>15</v>
      </c>
    </row>
    <row r="782" spans="1:14" hidden="1"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Stage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Stage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Stage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Stage</v>
      </c>
      <c r="N786" t="s">
        <v>15</v>
      </c>
    </row>
    <row r="787" spans="1:14" hidden="1" x14ac:dyDescent="0.3">
      <c r="A787">
        <v>24496</v>
      </c>
      <c r="B787" t="s">
        <v>37</v>
      </c>
      <c r="C787" t="s">
        <v>38</v>
      </c>
      <c r="D787" s="3">
        <v>40000</v>
      </c>
      <c r="E787">
        <v>0</v>
      </c>
      <c r="F787" t="s">
        <v>27</v>
      </c>
      <c r="G787" t="s">
        <v>14</v>
      </c>
      <c r="H787" t="s">
        <v>18</v>
      </c>
      <c r="I787">
        <v>2</v>
      </c>
      <c r="J787" t="s">
        <v>16</v>
      </c>
      <c r="K787" t="s">
        <v>32</v>
      </c>
      <c r="L787">
        <v>28</v>
      </c>
      <c r="M787" t="str">
        <f t="shared" si="12"/>
        <v>Adolescnt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Stage</v>
      </c>
      <c r="N788" t="s">
        <v>18</v>
      </c>
    </row>
    <row r="789" spans="1:14" hidden="1"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Stage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Stage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Stage</v>
      </c>
      <c r="N792" t="s">
        <v>18</v>
      </c>
    </row>
    <row r="793" spans="1:14" hidden="1" x14ac:dyDescent="0.3">
      <c r="A793">
        <v>18363</v>
      </c>
      <c r="B793" t="s">
        <v>36</v>
      </c>
      <c r="C793" t="s">
        <v>39</v>
      </c>
      <c r="D793" s="3">
        <v>40000</v>
      </c>
      <c r="E793">
        <v>0</v>
      </c>
      <c r="F793" t="s">
        <v>27</v>
      </c>
      <c r="G793" t="s">
        <v>14</v>
      </c>
      <c r="H793" t="s">
        <v>15</v>
      </c>
      <c r="I793">
        <v>2</v>
      </c>
      <c r="J793" t="s">
        <v>23</v>
      </c>
      <c r="K793" t="s">
        <v>32</v>
      </c>
      <c r="L793">
        <v>28</v>
      </c>
      <c r="M793" t="str">
        <f t="shared" si="12"/>
        <v>Adolescnt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Stage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Stage</v>
      </c>
      <c r="N795" t="s">
        <v>15</v>
      </c>
    </row>
    <row r="796" spans="1:14" hidden="1"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Stage</v>
      </c>
      <c r="N797" t="s">
        <v>18</v>
      </c>
    </row>
    <row r="798" spans="1:14" hidden="1"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hidden="1" x14ac:dyDescent="0.3">
      <c r="A799">
        <v>20310</v>
      </c>
      <c r="B799" t="s">
        <v>37</v>
      </c>
      <c r="C799" t="s">
        <v>39</v>
      </c>
      <c r="D799" s="3">
        <v>60000</v>
      </c>
      <c r="E799">
        <v>0</v>
      </c>
      <c r="F799" t="s">
        <v>19</v>
      </c>
      <c r="G799" t="s">
        <v>14</v>
      </c>
      <c r="H799" t="s">
        <v>15</v>
      </c>
      <c r="I799">
        <v>1</v>
      </c>
      <c r="J799" t="s">
        <v>23</v>
      </c>
      <c r="K799" t="s">
        <v>32</v>
      </c>
      <c r="L799">
        <v>27</v>
      </c>
      <c r="M799" t="str">
        <f t="shared" si="12"/>
        <v>Adolescnt</v>
      </c>
      <c r="N799" t="s">
        <v>15</v>
      </c>
    </row>
    <row r="800" spans="1:14" hidden="1" x14ac:dyDescent="0.3">
      <c r="A800">
        <v>22971</v>
      </c>
      <c r="B800" t="s">
        <v>37</v>
      </c>
      <c r="C800" t="s">
        <v>38</v>
      </c>
      <c r="D800" s="3">
        <v>30000</v>
      </c>
      <c r="E800">
        <v>0</v>
      </c>
      <c r="F800" t="s">
        <v>27</v>
      </c>
      <c r="G800" t="s">
        <v>14</v>
      </c>
      <c r="H800" t="s">
        <v>18</v>
      </c>
      <c r="I800">
        <v>2</v>
      </c>
      <c r="J800" t="s">
        <v>16</v>
      </c>
      <c r="K800" t="s">
        <v>32</v>
      </c>
      <c r="L800">
        <v>25</v>
      </c>
      <c r="M800" t="str">
        <f t="shared" si="12"/>
        <v>Adolescnt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Stage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Stage</v>
      </c>
      <c r="N802" t="s">
        <v>15</v>
      </c>
    </row>
    <row r="803" spans="1:14" hidden="1"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hidden="1" x14ac:dyDescent="0.3">
      <c r="A804">
        <v>28090</v>
      </c>
      <c r="B804" t="s">
        <v>36</v>
      </c>
      <c r="C804" t="s">
        <v>39</v>
      </c>
      <c r="D804" s="3">
        <v>40000</v>
      </c>
      <c r="E804">
        <v>0</v>
      </c>
      <c r="F804" t="s">
        <v>19</v>
      </c>
      <c r="G804" t="s">
        <v>14</v>
      </c>
      <c r="H804" t="s">
        <v>15</v>
      </c>
      <c r="I804">
        <v>1</v>
      </c>
      <c r="J804" t="s">
        <v>23</v>
      </c>
      <c r="K804" t="s">
        <v>32</v>
      </c>
      <c r="L804">
        <v>27</v>
      </c>
      <c r="M804" t="str">
        <f t="shared" si="12"/>
        <v>Adolescnt</v>
      </c>
      <c r="N804" t="s">
        <v>18</v>
      </c>
    </row>
    <row r="805" spans="1:14" hidden="1" x14ac:dyDescent="0.3">
      <c r="A805">
        <v>15255</v>
      </c>
      <c r="B805" t="s">
        <v>36</v>
      </c>
      <c r="C805" t="s">
        <v>39</v>
      </c>
      <c r="D805" s="3">
        <v>40000</v>
      </c>
      <c r="E805">
        <v>0</v>
      </c>
      <c r="F805" t="s">
        <v>27</v>
      </c>
      <c r="G805" t="s">
        <v>14</v>
      </c>
      <c r="H805" t="s">
        <v>15</v>
      </c>
      <c r="I805">
        <v>2</v>
      </c>
      <c r="J805" t="s">
        <v>23</v>
      </c>
      <c r="K805" t="s">
        <v>32</v>
      </c>
      <c r="L805">
        <v>28</v>
      </c>
      <c r="M805" t="str">
        <f t="shared" si="12"/>
        <v>Adolescnt</v>
      </c>
      <c r="N805" t="s">
        <v>15</v>
      </c>
    </row>
    <row r="806" spans="1:14" hidden="1" x14ac:dyDescent="0.3">
      <c r="A806">
        <v>13154</v>
      </c>
      <c r="B806" t="s">
        <v>36</v>
      </c>
      <c r="C806" t="s">
        <v>39</v>
      </c>
      <c r="D806" s="3">
        <v>40000</v>
      </c>
      <c r="E806">
        <v>0</v>
      </c>
      <c r="F806" t="s">
        <v>27</v>
      </c>
      <c r="G806" t="s">
        <v>14</v>
      </c>
      <c r="H806" t="s">
        <v>18</v>
      </c>
      <c r="I806">
        <v>2</v>
      </c>
      <c r="J806" t="s">
        <v>16</v>
      </c>
      <c r="K806" t="s">
        <v>32</v>
      </c>
      <c r="L806">
        <v>27</v>
      </c>
      <c r="M806" t="str">
        <f t="shared" si="12"/>
        <v>Adolescnt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Stage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Stage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Stage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Stage</v>
      </c>
      <c r="N810" t="s">
        <v>15</v>
      </c>
    </row>
    <row r="811" spans="1:14" hidden="1"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Stage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Stage</v>
      </c>
      <c r="N813" t="s">
        <v>18</v>
      </c>
    </row>
    <row r="814" spans="1:14" hidden="1"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Stage</v>
      </c>
      <c r="N815" t="s">
        <v>18</v>
      </c>
    </row>
    <row r="816" spans="1:14" hidden="1"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hidden="1" x14ac:dyDescent="0.3">
      <c r="A817">
        <v>23333</v>
      </c>
      <c r="B817" t="s">
        <v>36</v>
      </c>
      <c r="C817" t="s">
        <v>39</v>
      </c>
      <c r="D817" s="3">
        <v>40000</v>
      </c>
      <c r="E817">
        <v>0</v>
      </c>
      <c r="F817" t="s">
        <v>19</v>
      </c>
      <c r="G817" t="s">
        <v>14</v>
      </c>
      <c r="H817" t="s">
        <v>18</v>
      </c>
      <c r="I817">
        <v>2</v>
      </c>
      <c r="J817" t="s">
        <v>26</v>
      </c>
      <c r="K817" t="s">
        <v>32</v>
      </c>
      <c r="L817">
        <v>30</v>
      </c>
      <c r="M817" t="str">
        <f t="shared" si="12"/>
        <v>Adolescnt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Stage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Stage</v>
      </c>
      <c r="N819" t="s">
        <v>15</v>
      </c>
    </row>
    <row r="820" spans="1:14" hidden="1" x14ac:dyDescent="0.3">
      <c r="A820">
        <v>24514</v>
      </c>
      <c r="B820" t="s">
        <v>36</v>
      </c>
      <c r="C820" t="s">
        <v>39</v>
      </c>
      <c r="D820" s="3">
        <v>40000</v>
      </c>
      <c r="E820">
        <v>0</v>
      </c>
      <c r="F820" t="s">
        <v>19</v>
      </c>
      <c r="G820" t="s">
        <v>14</v>
      </c>
      <c r="H820" t="s">
        <v>15</v>
      </c>
      <c r="I820">
        <v>1</v>
      </c>
      <c r="J820" t="s">
        <v>23</v>
      </c>
      <c r="K820" t="s">
        <v>32</v>
      </c>
      <c r="L820">
        <v>30</v>
      </c>
      <c r="M820" t="str">
        <f t="shared" si="12"/>
        <v>Adolescnt</v>
      </c>
      <c r="N820" t="s">
        <v>18</v>
      </c>
    </row>
    <row r="821" spans="1:14" hidden="1" x14ac:dyDescent="0.3">
      <c r="A821">
        <v>27505</v>
      </c>
      <c r="B821" t="s">
        <v>37</v>
      </c>
      <c r="C821" t="s">
        <v>38</v>
      </c>
      <c r="D821" s="3">
        <v>40000</v>
      </c>
      <c r="E821">
        <v>0</v>
      </c>
      <c r="F821" t="s">
        <v>27</v>
      </c>
      <c r="G821" t="s">
        <v>14</v>
      </c>
      <c r="H821" t="s">
        <v>15</v>
      </c>
      <c r="I821">
        <v>2</v>
      </c>
      <c r="J821" t="s">
        <v>23</v>
      </c>
      <c r="K821" t="s">
        <v>32</v>
      </c>
      <c r="L821">
        <v>30</v>
      </c>
      <c r="M821" t="str">
        <f t="shared" si="12"/>
        <v>Adolescnt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Stage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Stage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Stage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Stage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Stage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Stage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Stage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Stage</v>
      </c>
      <c r="N829" t="s">
        <v>15</v>
      </c>
    </row>
    <row r="830" spans="1:14" hidden="1" x14ac:dyDescent="0.3">
      <c r="A830">
        <v>20421</v>
      </c>
      <c r="B830" t="s">
        <v>37</v>
      </c>
      <c r="C830" t="s">
        <v>38</v>
      </c>
      <c r="D830" s="3">
        <v>40000</v>
      </c>
      <c r="E830">
        <v>0</v>
      </c>
      <c r="F830" t="s">
        <v>29</v>
      </c>
      <c r="G830" t="s">
        <v>20</v>
      </c>
      <c r="H830" t="s">
        <v>15</v>
      </c>
      <c r="I830">
        <v>2</v>
      </c>
      <c r="J830" t="s">
        <v>23</v>
      </c>
      <c r="K830" t="s">
        <v>32</v>
      </c>
      <c r="L830">
        <v>26</v>
      </c>
      <c r="M830" t="str">
        <f t="shared" si="12"/>
        <v>Adolescnt</v>
      </c>
      <c r="N830" t="s">
        <v>18</v>
      </c>
    </row>
    <row r="831" spans="1:14" hidden="1"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Stage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Stage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Stage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Stage",IF(L835&lt;31,"Adolescnt","Invalid")))</f>
        <v>Middle Stage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Stage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Stage</v>
      </c>
      <c r="N837" t="s">
        <v>15</v>
      </c>
    </row>
    <row r="838" spans="1:14" hidden="1" x14ac:dyDescent="0.3">
      <c r="A838">
        <v>18891</v>
      </c>
      <c r="B838" t="s">
        <v>36</v>
      </c>
      <c r="C838" t="s">
        <v>38</v>
      </c>
      <c r="D838" s="3">
        <v>40000</v>
      </c>
      <c r="E838">
        <v>0</v>
      </c>
      <c r="F838" t="s">
        <v>19</v>
      </c>
      <c r="G838" t="s">
        <v>14</v>
      </c>
      <c r="H838" t="s">
        <v>15</v>
      </c>
      <c r="I838">
        <v>2</v>
      </c>
      <c r="J838" t="s">
        <v>23</v>
      </c>
      <c r="K838" t="s">
        <v>32</v>
      </c>
      <c r="L838">
        <v>28</v>
      </c>
      <c r="M838" t="str">
        <f t="shared" si="13"/>
        <v>Adolescnt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Stage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Stage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Stage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Stage</v>
      </c>
      <c r="N842" t="s">
        <v>18</v>
      </c>
    </row>
    <row r="843" spans="1:14" hidden="1"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Stage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Stage</v>
      </c>
      <c r="N845" t="s">
        <v>18</v>
      </c>
    </row>
    <row r="846" spans="1:14" hidden="1"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Stage</v>
      </c>
      <c r="N847" t="s">
        <v>18</v>
      </c>
    </row>
    <row r="848" spans="1:14" hidden="1"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hidden="1" x14ac:dyDescent="0.3">
      <c r="A849">
        <v>17482</v>
      </c>
      <c r="B849" t="s">
        <v>37</v>
      </c>
      <c r="C849" t="s">
        <v>38</v>
      </c>
      <c r="D849" s="3">
        <v>40000</v>
      </c>
      <c r="E849">
        <v>0</v>
      </c>
      <c r="F849" t="s">
        <v>29</v>
      </c>
      <c r="G849" t="s">
        <v>20</v>
      </c>
      <c r="H849" t="s">
        <v>15</v>
      </c>
      <c r="I849">
        <v>2</v>
      </c>
      <c r="J849" t="s">
        <v>23</v>
      </c>
      <c r="K849" t="s">
        <v>32</v>
      </c>
      <c r="L849">
        <v>29</v>
      </c>
      <c r="M849" t="str">
        <f t="shared" si="13"/>
        <v>Adolescnt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Stage</v>
      </c>
      <c r="N850" t="s">
        <v>15</v>
      </c>
    </row>
    <row r="851" spans="1:14" hidden="1"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hidden="1"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Stage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Stage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Stage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Stage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Stage</v>
      </c>
      <c r="N857" t="s">
        <v>18</v>
      </c>
    </row>
    <row r="858" spans="1:14" hidden="1" x14ac:dyDescent="0.3">
      <c r="A858">
        <v>29052</v>
      </c>
      <c r="B858" t="s">
        <v>37</v>
      </c>
      <c r="C858" t="s">
        <v>39</v>
      </c>
      <c r="D858" s="3">
        <v>40000</v>
      </c>
      <c r="E858">
        <v>0</v>
      </c>
      <c r="F858" t="s">
        <v>19</v>
      </c>
      <c r="G858" t="s">
        <v>14</v>
      </c>
      <c r="H858" t="s">
        <v>15</v>
      </c>
      <c r="I858">
        <v>1</v>
      </c>
      <c r="J858" t="s">
        <v>23</v>
      </c>
      <c r="K858" t="s">
        <v>32</v>
      </c>
      <c r="L858">
        <v>27</v>
      </c>
      <c r="M858" t="str">
        <f t="shared" si="13"/>
        <v>Adolescnt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Stage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Stage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Stage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Stage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Stage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Stage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Stage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Stage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Stage</v>
      </c>
      <c r="N867" t="s">
        <v>15</v>
      </c>
    </row>
    <row r="868" spans="1:14" hidden="1"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Stage</v>
      </c>
      <c r="N869" t="s">
        <v>18</v>
      </c>
    </row>
    <row r="870" spans="1:14" hidden="1"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Stage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Stage</v>
      </c>
      <c r="N872" t="s">
        <v>18</v>
      </c>
    </row>
    <row r="873" spans="1:14" hidden="1"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Stage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Stage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Stage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Stage</v>
      </c>
      <c r="N877" t="s">
        <v>15</v>
      </c>
    </row>
    <row r="878" spans="1:14" hidden="1" x14ac:dyDescent="0.3">
      <c r="A878">
        <v>18322</v>
      </c>
      <c r="B878" t="s">
        <v>37</v>
      </c>
      <c r="C878" t="s">
        <v>39</v>
      </c>
      <c r="D878" s="3">
        <v>30000</v>
      </c>
      <c r="E878">
        <v>0</v>
      </c>
      <c r="F878" t="s">
        <v>29</v>
      </c>
      <c r="G878" t="s">
        <v>20</v>
      </c>
      <c r="H878" t="s">
        <v>18</v>
      </c>
      <c r="I878">
        <v>2</v>
      </c>
      <c r="J878" t="s">
        <v>16</v>
      </c>
      <c r="K878" t="s">
        <v>32</v>
      </c>
      <c r="L878">
        <v>26</v>
      </c>
      <c r="M878" t="str">
        <f t="shared" si="13"/>
        <v>Adolescnt</v>
      </c>
      <c r="N878" t="s">
        <v>18</v>
      </c>
    </row>
    <row r="879" spans="1:14" hidden="1"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hidden="1"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Stage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Stage</v>
      </c>
      <c r="N882" t="s">
        <v>15</v>
      </c>
    </row>
    <row r="883" spans="1:14" hidden="1"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Stage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Stage</v>
      </c>
      <c r="N885" t="s">
        <v>15</v>
      </c>
    </row>
    <row r="886" spans="1:14" hidden="1"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Stage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Stage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Stage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Stage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Stage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Stage</v>
      </c>
      <c r="N892" t="s">
        <v>18</v>
      </c>
    </row>
    <row r="893" spans="1:14" hidden="1"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Stage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Stage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Stage</v>
      </c>
      <c r="N896" t="s">
        <v>15</v>
      </c>
    </row>
    <row r="897" spans="1:14" hidden="1"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Stage</v>
      </c>
      <c r="N898" t="s">
        <v>15</v>
      </c>
    </row>
    <row r="899" spans="1:14" hidden="1"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Stage",IF(L899&lt;31,"Adolescnt","Invalid")))</f>
        <v>Adolescnt</v>
      </c>
      <c r="N899" t="s">
        <v>18</v>
      </c>
    </row>
    <row r="900" spans="1:14" hidden="1"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Stage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Stage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Stage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Stage</v>
      </c>
      <c r="N904" t="s">
        <v>18</v>
      </c>
    </row>
    <row r="905" spans="1:14" hidden="1"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Stage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Stage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Stage</v>
      </c>
      <c r="N908" t="s">
        <v>15</v>
      </c>
    </row>
    <row r="909" spans="1:14" hidden="1"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Stage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Stage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Stage</v>
      </c>
      <c r="N912" t="s">
        <v>18</v>
      </c>
    </row>
    <row r="913" spans="1:14" hidden="1"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Stage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Stage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Stage</v>
      </c>
      <c r="N916" t="s">
        <v>18</v>
      </c>
    </row>
    <row r="917" spans="1:14" hidden="1"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Stage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Stage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Stage</v>
      </c>
      <c r="N920" t="s">
        <v>15</v>
      </c>
    </row>
    <row r="921" spans="1:14" hidden="1"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Stage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Stage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Stage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Stage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Stage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Stage</v>
      </c>
      <c r="N927" t="s">
        <v>15</v>
      </c>
    </row>
    <row r="928" spans="1:14" hidden="1"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Stage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Stage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Stage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Stage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Stage</v>
      </c>
      <c r="N933" t="s">
        <v>15</v>
      </c>
    </row>
    <row r="934" spans="1:14" hidden="1" x14ac:dyDescent="0.3">
      <c r="A934">
        <v>12033</v>
      </c>
      <c r="B934" t="s">
        <v>37</v>
      </c>
      <c r="C934" t="s">
        <v>38</v>
      </c>
      <c r="D934" s="3">
        <v>40000</v>
      </c>
      <c r="E934">
        <v>0</v>
      </c>
      <c r="F934" t="s">
        <v>27</v>
      </c>
      <c r="G934" t="s">
        <v>14</v>
      </c>
      <c r="H934" t="s">
        <v>18</v>
      </c>
      <c r="I934">
        <v>2</v>
      </c>
      <c r="J934" t="s">
        <v>16</v>
      </c>
      <c r="K934" t="s">
        <v>32</v>
      </c>
      <c r="L934">
        <v>27</v>
      </c>
      <c r="M934" t="str">
        <f t="shared" si="14"/>
        <v>Adolescnt</v>
      </c>
      <c r="N934" t="s">
        <v>15</v>
      </c>
    </row>
    <row r="935" spans="1:14" hidden="1" x14ac:dyDescent="0.3">
      <c r="A935">
        <v>11941</v>
      </c>
      <c r="B935" t="s">
        <v>37</v>
      </c>
      <c r="C935" t="s">
        <v>39</v>
      </c>
      <c r="D935" s="3">
        <v>60000</v>
      </c>
      <c r="E935">
        <v>0</v>
      </c>
      <c r="F935" t="s">
        <v>19</v>
      </c>
      <c r="G935" t="s">
        <v>14</v>
      </c>
      <c r="H935" t="s">
        <v>15</v>
      </c>
      <c r="I935">
        <v>0</v>
      </c>
      <c r="J935" t="s">
        <v>23</v>
      </c>
      <c r="K935" t="s">
        <v>32</v>
      </c>
      <c r="L935">
        <v>29</v>
      </c>
      <c r="M935" t="str">
        <f t="shared" si="14"/>
        <v>Adolescnt</v>
      </c>
      <c r="N935" t="s">
        <v>18</v>
      </c>
    </row>
    <row r="936" spans="1:14" hidden="1"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Stage</v>
      </c>
      <c r="N937" t="s">
        <v>15</v>
      </c>
    </row>
    <row r="938" spans="1:14" hidden="1"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Stage</v>
      </c>
      <c r="N939" t="s">
        <v>15</v>
      </c>
    </row>
    <row r="940" spans="1:14" hidden="1" x14ac:dyDescent="0.3">
      <c r="A940">
        <v>27740</v>
      </c>
      <c r="B940" t="s">
        <v>36</v>
      </c>
      <c r="C940" t="s">
        <v>38</v>
      </c>
      <c r="D940" s="3">
        <v>40000</v>
      </c>
      <c r="E940">
        <v>0</v>
      </c>
      <c r="F940" t="s">
        <v>27</v>
      </c>
      <c r="G940" t="s">
        <v>14</v>
      </c>
      <c r="H940" t="s">
        <v>15</v>
      </c>
      <c r="I940">
        <v>2</v>
      </c>
      <c r="J940" t="s">
        <v>23</v>
      </c>
      <c r="K940" t="s">
        <v>32</v>
      </c>
      <c r="L940">
        <v>27</v>
      </c>
      <c r="M940" t="str">
        <f t="shared" si="14"/>
        <v>Adolescnt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Stage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Stage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Stage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Stage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Stage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Stage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Stage</v>
      </c>
      <c r="N947" t="s">
        <v>15</v>
      </c>
    </row>
    <row r="948" spans="1:14" hidden="1"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Stage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Stage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Stage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Stage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Stage</v>
      </c>
      <c r="N953" t="s">
        <v>18</v>
      </c>
    </row>
    <row r="954" spans="1:14" hidden="1"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hidden="1" x14ac:dyDescent="0.3">
      <c r="A955">
        <v>17654</v>
      </c>
      <c r="B955" t="s">
        <v>37</v>
      </c>
      <c r="C955" t="s">
        <v>38</v>
      </c>
      <c r="D955" s="3">
        <v>40000</v>
      </c>
      <c r="E955">
        <v>3</v>
      </c>
      <c r="F955" t="s">
        <v>19</v>
      </c>
      <c r="G955" t="s">
        <v>20</v>
      </c>
      <c r="H955" t="s">
        <v>15</v>
      </c>
      <c r="I955">
        <v>1</v>
      </c>
      <c r="J955" t="s">
        <v>26</v>
      </c>
      <c r="K955" t="s">
        <v>32</v>
      </c>
      <c r="L955">
        <v>30</v>
      </c>
      <c r="M955" t="str">
        <f t="shared" si="14"/>
        <v>Adolescnt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Stage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Stage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Stage</v>
      </c>
      <c r="N958" t="s">
        <v>15</v>
      </c>
    </row>
    <row r="959" spans="1:14" hidden="1" x14ac:dyDescent="0.3">
      <c r="A959">
        <v>13073</v>
      </c>
      <c r="B959" t="s">
        <v>36</v>
      </c>
      <c r="C959" t="s">
        <v>38</v>
      </c>
      <c r="D959" s="3">
        <v>60000</v>
      </c>
      <c r="E959">
        <v>0</v>
      </c>
      <c r="F959" t="s">
        <v>19</v>
      </c>
      <c r="G959" t="s">
        <v>21</v>
      </c>
      <c r="H959" t="s">
        <v>15</v>
      </c>
      <c r="I959">
        <v>2</v>
      </c>
      <c r="J959" t="s">
        <v>23</v>
      </c>
      <c r="K959" t="s">
        <v>32</v>
      </c>
      <c r="L959">
        <v>30</v>
      </c>
      <c r="M959" t="str">
        <f t="shared" si="14"/>
        <v>Adolescnt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Stage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Stage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Stage</v>
      </c>
      <c r="N962" t="s">
        <v>18</v>
      </c>
    </row>
    <row r="963" spans="1:14" hidden="1"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Stage",IF(L963&lt;31,"Adolescnt","Invalid")))</f>
        <v>Old</v>
      </c>
      <c r="N963" t="s">
        <v>18</v>
      </c>
    </row>
    <row r="964" spans="1:14" hidden="1"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hidden="1"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hidden="1"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Stage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Stage</v>
      </c>
      <c r="N968" t="s">
        <v>15</v>
      </c>
    </row>
    <row r="969" spans="1:14" hidden="1"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hidden="1" x14ac:dyDescent="0.3">
      <c r="A970">
        <v>18329</v>
      </c>
      <c r="B970" t="s">
        <v>37</v>
      </c>
      <c r="C970" t="s">
        <v>39</v>
      </c>
      <c r="D970" s="3">
        <v>30000</v>
      </c>
      <c r="E970">
        <v>0</v>
      </c>
      <c r="F970" t="s">
        <v>29</v>
      </c>
      <c r="G970" t="s">
        <v>20</v>
      </c>
      <c r="H970" t="s">
        <v>18</v>
      </c>
      <c r="I970">
        <v>2</v>
      </c>
      <c r="J970" t="s">
        <v>23</v>
      </c>
      <c r="K970" t="s">
        <v>32</v>
      </c>
      <c r="L970">
        <v>27</v>
      </c>
      <c r="M970" t="str">
        <f t="shared" si="15"/>
        <v>Adolescnt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Stage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Stage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Stage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Stage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Stage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Stage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Stage</v>
      </c>
      <c r="N977" t="s">
        <v>15</v>
      </c>
    </row>
    <row r="978" spans="1:14" hidden="1"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hidden="1"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Stage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Stage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Stage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Stage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Stage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Stage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Stage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Stage</v>
      </c>
      <c r="N987" t="s">
        <v>18</v>
      </c>
    </row>
    <row r="988" spans="1:14" hidden="1"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hidden="1"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hidden="1"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Stage</v>
      </c>
      <c r="N991" t="s">
        <v>18</v>
      </c>
    </row>
    <row r="992" spans="1:14" hidden="1" x14ac:dyDescent="0.3">
      <c r="A992">
        <v>14332</v>
      </c>
      <c r="B992" t="s">
        <v>37</v>
      </c>
      <c r="C992" t="s">
        <v>38</v>
      </c>
      <c r="D992" s="3">
        <v>30000</v>
      </c>
      <c r="E992">
        <v>0</v>
      </c>
      <c r="F992" t="s">
        <v>27</v>
      </c>
      <c r="G992" t="s">
        <v>14</v>
      </c>
      <c r="H992" t="s">
        <v>18</v>
      </c>
      <c r="I992">
        <v>2</v>
      </c>
      <c r="J992" t="s">
        <v>23</v>
      </c>
      <c r="K992" t="s">
        <v>32</v>
      </c>
      <c r="L992">
        <v>26</v>
      </c>
      <c r="M992" t="str">
        <f t="shared" si="15"/>
        <v>Adolescnt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Stage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Stage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Stage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Stage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Stage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Stage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Stage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Stage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Stage</v>
      </c>
      <c r="N1001" t="s">
        <v>15</v>
      </c>
    </row>
  </sheetData>
  <autoFilter ref="A1:N1001" xr:uid="{B0DFD85F-9FFF-4890-A243-7E2DFBBCD570}">
    <filterColumn colId="12">
      <filters>
        <filter val="Middle Stage"/>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8BEAB-7A5C-4CE3-8861-DEECBF6581F6}">
  <dimension ref="A3:D131"/>
  <sheetViews>
    <sheetView topLeftCell="A107" zoomScaleNormal="100" workbookViewId="0">
      <selection activeCell="H115" sqref="H115"/>
    </sheetView>
  </sheetViews>
  <sheetFormatPr defaultRowHeight="14.4" x14ac:dyDescent="0.3"/>
  <cols>
    <col min="1" max="1" width="18.109375" bestFit="1" customWidth="1"/>
    <col min="2" max="2" width="15.5546875" bestFit="1" customWidth="1"/>
    <col min="3" max="3" width="4.44140625" bestFit="1" customWidth="1"/>
    <col min="4" max="4" width="10.77734375" bestFit="1" customWidth="1"/>
    <col min="5" max="6" width="3" bestFit="1" customWidth="1"/>
    <col min="7" max="7" width="10.77734375" bestFit="1" customWidth="1"/>
    <col min="11" max="11" width="10.44140625" customWidth="1"/>
  </cols>
  <sheetData>
    <row r="3" spans="1:4" x14ac:dyDescent="0.3">
      <c r="A3" s="4" t="s">
        <v>43</v>
      </c>
      <c r="B3" s="4" t="s">
        <v>44</v>
      </c>
    </row>
    <row r="4" spans="1:4" x14ac:dyDescent="0.3">
      <c r="A4" s="4" t="s">
        <v>41</v>
      </c>
      <c r="B4" t="s">
        <v>18</v>
      </c>
      <c r="C4" t="s">
        <v>15</v>
      </c>
      <c r="D4"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19" spans="1:4" x14ac:dyDescent="0.3">
      <c r="A19" s="4" t="s">
        <v>50</v>
      </c>
      <c r="B19" s="4" t="s">
        <v>44</v>
      </c>
    </row>
    <row r="20" spans="1:4" x14ac:dyDescent="0.3">
      <c r="A20" s="4" t="s">
        <v>41</v>
      </c>
      <c r="B20" t="s">
        <v>18</v>
      </c>
      <c r="C20" t="s">
        <v>15</v>
      </c>
      <c r="D20" t="s">
        <v>42</v>
      </c>
    </row>
    <row r="21" spans="1:4" x14ac:dyDescent="0.3">
      <c r="A21" s="5" t="s">
        <v>16</v>
      </c>
      <c r="B21" s="8">
        <v>0.45355191256830601</v>
      </c>
      <c r="C21" s="8">
        <v>0.54644808743169404</v>
      </c>
      <c r="D21" s="8">
        <v>1</v>
      </c>
    </row>
    <row r="22" spans="1:4" x14ac:dyDescent="0.3">
      <c r="A22" s="5" t="s">
        <v>26</v>
      </c>
      <c r="B22" s="8">
        <v>0.54437869822485208</v>
      </c>
      <c r="C22" s="8">
        <v>0.45562130177514792</v>
      </c>
      <c r="D22" s="8">
        <v>1</v>
      </c>
    </row>
    <row r="23" spans="1:4" x14ac:dyDescent="0.3">
      <c r="A23" s="5" t="s">
        <v>22</v>
      </c>
      <c r="B23" s="8">
        <v>0.41358024691358025</v>
      </c>
      <c r="C23" s="8">
        <v>0.5864197530864198</v>
      </c>
      <c r="D23" s="8">
        <v>1</v>
      </c>
    </row>
    <row r="24" spans="1:4" x14ac:dyDescent="0.3">
      <c r="A24" s="5" t="s">
        <v>23</v>
      </c>
      <c r="B24" s="8">
        <v>0.60416666666666663</v>
      </c>
      <c r="C24" s="8">
        <v>0.39583333333333331</v>
      </c>
      <c r="D24" s="8">
        <v>1</v>
      </c>
    </row>
    <row r="25" spans="1:4" x14ac:dyDescent="0.3">
      <c r="A25" s="5" t="s">
        <v>46</v>
      </c>
      <c r="B25" s="8">
        <v>0.70270270270270274</v>
      </c>
      <c r="C25" s="8">
        <v>0.29729729729729731</v>
      </c>
      <c r="D25" s="8">
        <v>1</v>
      </c>
    </row>
    <row r="26" spans="1:4" x14ac:dyDescent="0.3">
      <c r="A26" s="5" t="s">
        <v>42</v>
      </c>
      <c r="B26" s="8">
        <v>0.51900000000000002</v>
      </c>
      <c r="C26" s="8">
        <v>0.48099999999999998</v>
      </c>
      <c r="D26" s="8">
        <v>1</v>
      </c>
    </row>
    <row r="36" spans="1:4" x14ac:dyDescent="0.3">
      <c r="A36" s="4" t="s">
        <v>45</v>
      </c>
      <c r="B36" s="4" t="s">
        <v>44</v>
      </c>
    </row>
    <row r="37" spans="1:4" x14ac:dyDescent="0.3">
      <c r="A37" s="4" t="s">
        <v>41</v>
      </c>
      <c r="B37" t="s">
        <v>18</v>
      </c>
      <c r="C37" t="s">
        <v>15</v>
      </c>
      <c r="D37" t="s">
        <v>42</v>
      </c>
    </row>
    <row r="38" spans="1:4" x14ac:dyDescent="0.3">
      <c r="A38" s="5" t="s">
        <v>47</v>
      </c>
      <c r="B38" s="7">
        <v>71</v>
      </c>
      <c r="C38" s="7">
        <v>39</v>
      </c>
      <c r="D38" s="7">
        <v>110</v>
      </c>
    </row>
    <row r="39" spans="1:4" x14ac:dyDescent="0.3">
      <c r="A39" s="5" t="s">
        <v>48</v>
      </c>
      <c r="B39" s="7">
        <v>318</v>
      </c>
      <c r="C39" s="7">
        <v>383</v>
      </c>
      <c r="D39" s="7">
        <v>701</v>
      </c>
    </row>
    <row r="40" spans="1:4" x14ac:dyDescent="0.3">
      <c r="A40" s="5" t="s">
        <v>49</v>
      </c>
      <c r="B40" s="7">
        <v>130</v>
      </c>
      <c r="C40" s="7">
        <v>59</v>
      </c>
      <c r="D40" s="7">
        <v>189</v>
      </c>
    </row>
    <row r="41" spans="1:4" x14ac:dyDescent="0.3">
      <c r="A41" s="5" t="s">
        <v>42</v>
      </c>
      <c r="B41" s="7">
        <v>519</v>
      </c>
      <c r="C41" s="7">
        <v>481</v>
      </c>
      <c r="D41" s="7">
        <v>1000</v>
      </c>
    </row>
    <row r="54" spans="1:4" x14ac:dyDescent="0.3">
      <c r="A54" s="9" t="s">
        <v>50</v>
      </c>
      <c r="B54" s="9" t="s">
        <v>44</v>
      </c>
      <c r="C54" s="7"/>
      <c r="D54" s="7"/>
    </row>
    <row r="55" spans="1:4" x14ac:dyDescent="0.3">
      <c r="A55" s="9" t="s">
        <v>41</v>
      </c>
      <c r="B55" s="7" t="s">
        <v>18</v>
      </c>
      <c r="C55" s="7" t="s">
        <v>15</v>
      </c>
      <c r="D55" s="7" t="s">
        <v>42</v>
      </c>
    </row>
    <row r="56" spans="1:4" x14ac:dyDescent="0.3">
      <c r="A56" s="10">
        <v>0</v>
      </c>
      <c r="B56" s="8">
        <v>0.39763779527559057</v>
      </c>
      <c r="C56" s="8">
        <v>0.60236220472440949</v>
      </c>
      <c r="D56" s="8">
        <v>1</v>
      </c>
    </row>
    <row r="57" spans="1:4" x14ac:dyDescent="0.3">
      <c r="A57" s="10">
        <v>1</v>
      </c>
      <c r="B57" s="8">
        <v>0.4259927797833935</v>
      </c>
      <c r="C57" s="8">
        <v>0.57400722021660655</v>
      </c>
      <c r="D57" s="8">
        <v>1</v>
      </c>
    </row>
    <row r="58" spans="1:4" x14ac:dyDescent="0.3">
      <c r="A58" s="10">
        <v>2</v>
      </c>
      <c r="B58" s="8">
        <v>0.62931034482758619</v>
      </c>
      <c r="C58" s="8">
        <v>0.37068965517241381</v>
      </c>
      <c r="D58" s="8">
        <v>1</v>
      </c>
    </row>
    <row r="59" spans="1:4" x14ac:dyDescent="0.3">
      <c r="A59" s="10">
        <v>3</v>
      </c>
      <c r="B59" s="8">
        <v>0.61627906976744184</v>
      </c>
      <c r="C59" s="8">
        <v>0.38372093023255816</v>
      </c>
      <c r="D59" s="8">
        <v>1</v>
      </c>
    </row>
    <row r="60" spans="1:4" x14ac:dyDescent="0.3">
      <c r="A60" s="10">
        <v>4</v>
      </c>
      <c r="B60" s="8">
        <v>0.65573770491803274</v>
      </c>
      <c r="C60" s="8">
        <v>0.34426229508196721</v>
      </c>
      <c r="D60" s="8">
        <v>1</v>
      </c>
    </row>
    <row r="61" spans="1:4" x14ac:dyDescent="0.3">
      <c r="A61" s="10" t="s">
        <v>42</v>
      </c>
      <c r="B61" s="8">
        <v>0.51754385964912286</v>
      </c>
      <c r="C61" s="8">
        <v>0.48245614035087719</v>
      </c>
      <c r="D61" s="8">
        <v>1</v>
      </c>
    </row>
    <row r="72" spans="1:4" x14ac:dyDescent="0.3">
      <c r="A72" s="4" t="s">
        <v>50</v>
      </c>
      <c r="B72" s="4" t="s">
        <v>44</v>
      </c>
    </row>
    <row r="73" spans="1:4" x14ac:dyDescent="0.3">
      <c r="A73" s="4" t="s">
        <v>41</v>
      </c>
      <c r="B73" t="s">
        <v>18</v>
      </c>
      <c r="C73" t="s">
        <v>15</v>
      </c>
      <c r="D73" t="s">
        <v>42</v>
      </c>
    </row>
    <row r="74" spans="1:4" x14ac:dyDescent="0.3">
      <c r="A74" s="5" t="s">
        <v>18</v>
      </c>
      <c r="B74" s="8">
        <v>0.50455927051671734</v>
      </c>
      <c r="C74" s="8">
        <v>0.49544072948328266</v>
      </c>
      <c r="D74" s="8">
        <v>1</v>
      </c>
    </row>
    <row r="75" spans="1:4" x14ac:dyDescent="0.3">
      <c r="A75" s="5" t="s">
        <v>15</v>
      </c>
      <c r="B75" s="8">
        <v>0.52367288378766141</v>
      </c>
      <c r="C75" s="8">
        <v>0.47632711621233859</v>
      </c>
      <c r="D75" s="8">
        <v>1</v>
      </c>
    </row>
    <row r="76" spans="1:4" x14ac:dyDescent="0.3">
      <c r="A76" s="5" t="s">
        <v>42</v>
      </c>
      <c r="B76" s="8">
        <v>0.51754385964912286</v>
      </c>
      <c r="C76" s="8">
        <v>0.48245614035087719</v>
      </c>
      <c r="D76" s="8">
        <v>1</v>
      </c>
    </row>
    <row r="90" spans="1:4" x14ac:dyDescent="0.3">
      <c r="A90" s="4" t="s">
        <v>50</v>
      </c>
      <c r="B90" s="4" t="s">
        <v>44</v>
      </c>
    </row>
    <row r="91" spans="1:4" x14ac:dyDescent="0.3">
      <c r="A91" s="4" t="s">
        <v>41</v>
      </c>
      <c r="B91" t="s">
        <v>18</v>
      </c>
      <c r="C91" t="s">
        <v>15</v>
      </c>
      <c r="D91" t="s">
        <v>42</v>
      </c>
    </row>
    <row r="92" spans="1:4" x14ac:dyDescent="0.3">
      <c r="A92" s="5" t="s">
        <v>20</v>
      </c>
      <c r="B92" s="8">
        <v>0.49197860962566847</v>
      </c>
      <c r="C92" s="8">
        <v>0.50802139037433158</v>
      </c>
      <c r="D92" s="8">
        <v>1</v>
      </c>
    </row>
    <row r="93" spans="1:4" x14ac:dyDescent="0.3">
      <c r="A93" s="5" t="s">
        <v>28</v>
      </c>
      <c r="B93" s="8">
        <v>0.58045977011494254</v>
      </c>
      <c r="C93" s="8">
        <v>0.41954022988505746</v>
      </c>
      <c r="D93" s="8">
        <v>1</v>
      </c>
    </row>
    <row r="94" spans="1:4" x14ac:dyDescent="0.3">
      <c r="A94" s="5" t="s">
        <v>25</v>
      </c>
      <c r="B94" s="8">
        <v>0.53174603174603174</v>
      </c>
      <c r="C94" s="8">
        <v>0.46825396825396826</v>
      </c>
      <c r="D94" s="8">
        <v>1</v>
      </c>
    </row>
    <row r="95" spans="1:4" x14ac:dyDescent="0.3">
      <c r="A95" s="5" t="s">
        <v>21</v>
      </c>
      <c r="B95" s="8">
        <v>0.4642857142857143</v>
      </c>
      <c r="C95" s="8">
        <v>0.5357142857142857</v>
      </c>
      <c r="D95" s="8">
        <v>1</v>
      </c>
    </row>
    <row r="96" spans="1:4" x14ac:dyDescent="0.3">
      <c r="A96" s="5" t="s">
        <v>14</v>
      </c>
      <c r="B96" s="8">
        <v>0.54440154440154442</v>
      </c>
      <c r="C96" s="8">
        <v>0.45559845559845558</v>
      </c>
      <c r="D96" s="8">
        <v>1</v>
      </c>
    </row>
    <row r="97" spans="1:4" x14ac:dyDescent="0.3">
      <c r="A97" s="5" t="s">
        <v>42</v>
      </c>
      <c r="B97" s="8">
        <v>0.51754385964912286</v>
      </c>
      <c r="C97" s="8">
        <v>0.48245614035087719</v>
      </c>
      <c r="D97" s="8">
        <v>1</v>
      </c>
    </row>
    <row r="108" spans="1:4" x14ac:dyDescent="0.3">
      <c r="A108" s="11" t="s">
        <v>51</v>
      </c>
    </row>
    <row r="109" spans="1:4" x14ac:dyDescent="0.3">
      <c r="A109">
        <f>COUNT(bike_buyers!A2:A1027)</f>
        <v>1026</v>
      </c>
    </row>
    <row r="111" spans="1:4" x14ac:dyDescent="0.3">
      <c r="A111" s="11" t="s">
        <v>52</v>
      </c>
    </row>
    <row r="112" spans="1:4" x14ac:dyDescent="0.3">
      <c r="A112" s="14">
        <f>VALUE(SUM(bike_buyers!D2:D1027))</f>
        <v>57670000</v>
      </c>
    </row>
    <row r="114" spans="1:4" x14ac:dyDescent="0.3">
      <c r="A114" s="11" t="s">
        <v>53</v>
      </c>
    </row>
    <row r="115" spans="1:4" x14ac:dyDescent="0.3">
      <c r="A115" s="12">
        <f>COUNTIF(bike_buyers!M1:M1027,"Yes") / COUNTA(bike_buyers!M1:M1027)</f>
        <v>0.48198636806231743</v>
      </c>
    </row>
    <row r="117" spans="1:4" x14ac:dyDescent="0.3">
      <c r="A117" s="4" t="s">
        <v>45</v>
      </c>
      <c r="B117" s="4" t="s">
        <v>44</v>
      </c>
    </row>
    <row r="118" spans="1:4" x14ac:dyDescent="0.3">
      <c r="A118" s="4" t="s">
        <v>41</v>
      </c>
      <c r="B118" t="s">
        <v>18</v>
      </c>
      <c r="C118" t="s">
        <v>15</v>
      </c>
      <c r="D118" t="s">
        <v>42</v>
      </c>
    </row>
    <row r="119" spans="1:4" x14ac:dyDescent="0.3">
      <c r="A119" s="5" t="s">
        <v>47</v>
      </c>
      <c r="B119" s="8">
        <v>0.6454545454545455</v>
      </c>
      <c r="C119" s="8">
        <v>0.35454545454545455</v>
      </c>
      <c r="D119" s="8">
        <v>1</v>
      </c>
    </row>
    <row r="120" spans="1:4" x14ac:dyDescent="0.3">
      <c r="A120" s="5" t="s">
        <v>48</v>
      </c>
      <c r="B120" s="8">
        <v>0.45363766048502141</v>
      </c>
      <c r="C120" s="8">
        <v>0.54636233951497859</v>
      </c>
      <c r="D120" s="8">
        <v>1</v>
      </c>
    </row>
    <row r="121" spans="1:4" x14ac:dyDescent="0.3">
      <c r="A121" s="5" t="s">
        <v>49</v>
      </c>
      <c r="B121" s="8">
        <v>0.68783068783068779</v>
      </c>
      <c r="C121" s="8">
        <v>0.31216931216931215</v>
      </c>
      <c r="D121" s="8">
        <v>1</v>
      </c>
    </row>
    <row r="122" spans="1:4" x14ac:dyDescent="0.3">
      <c r="A122" s="5" t="s">
        <v>42</v>
      </c>
      <c r="B122" s="8">
        <v>0.51900000000000002</v>
      </c>
      <c r="C122" s="8">
        <v>0.48099999999999998</v>
      </c>
      <c r="D122" s="8">
        <v>1</v>
      </c>
    </row>
    <row r="124" spans="1:4" x14ac:dyDescent="0.3">
      <c r="A124" s="4" t="s">
        <v>45</v>
      </c>
      <c r="B124" s="4" t="s">
        <v>44</v>
      </c>
    </row>
    <row r="125" spans="1:4" x14ac:dyDescent="0.3">
      <c r="A125" s="4" t="s">
        <v>41</v>
      </c>
      <c r="B125" t="s">
        <v>18</v>
      </c>
      <c r="C125" t="s">
        <v>15</v>
      </c>
      <c r="D125" t="s">
        <v>42</v>
      </c>
    </row>
    <row r="126" spans="1:4" x14ac:dyDescent="0.3">
      <c r="A126" s="5" t="s">
        <v>16</v>
      </c>
      <c r="B126" s="8">
        <v>0.45355191256830601</v>
      </c>
      <c r="C126" s="8">
        <v>0.54644808743169404</v>
      </c>
      <c r="D126" s="8">
        <v>1</v>
      </c>
    </row>
    <row r="127" spans="1:4" x14ac:dyDescent="0.3">
      <c r="A127" s="5" t="s">
        <v>26</v>
      </c>
      <c r="B127" s="8">
        <v>0.54437869822485208</v>
      </c>
      <c r="C127" s="8">
        <v>0.45562130177514792</v>
      </c>
      <c r="D127" s="8">
        <v>1</v>
      </c>
    </row>
    <row r="128" spans="1:4" x14ac:dyDescent="0.3">
      <c r="A128" s="5" t="s">
        <v>22</v>
      </c>
      <c r="B128" s="8">
        <v>0.41358024691358025</v>
      </c>
      <c r="C128" s="8">
        <v>0.5864197530864198</v>
      </c>
      <c r="D128" s="8">
        <v>1</v>
      </c>
    </row>
    <row r="129" spans="1:4" x14ac:dyDescent="0.3">
      <c r="A129" s="5" t="s">
        <v>23</v>
      </c>
      <c r="B129" s="8">
        <v>0.60416666666666663</v>
      </c>
      <c r="C129" s="8">
        <v>0.39583333333333331</v>
      </c>
      <c r="D129" s="8">
        <v>1</v>
      </c>
    </row>
    <row r="130" spans="1:4" x14ac:dyDescent="0.3">
      <c r="A130" s="5" t="s">
        <v>46</v>
      </c>
      <c r="B130" s="8">
        <v>0.70270270270270274</v>
      </c>
      <c r="C130" s="8">
        <v>0.29729729729729731</v>
      </c>
      <c r="D130" s="8">
        <v>1</v>
      </c>
    </row>
    <row r="131" spans="1:4" x14ac:dyDescent="0.3">
      <c r="A131" s="5" t="s">
        <v>42</v>
      </c>
      <c r="B131" s="8">
        <v>0.51900000000000002</v>
      </c>
      <c r="C131" s="8">
        <v>0.48099999999999998</v>
      </c>
      <c r="D131" s="8">
        <v>1</v>
      </c>
    </row>
  </sheetData>
  <autoFilter ref="A111:A112" xr:uid="{4188BEAB-7A5C-4CE3-8861-DEECBF6581F6}"/>
  <phoneticPr fontId="19" type="noConversion"/>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2AB5-B40A-467C-B7E1-250C9BFE627C}">
  <dimension ref="A1:U3"/>
  <sheetViews>
    <sheetView showGridLines="0" tabSelected="1" zoomScale="84" zoomScaleNormal="84" workbookViewId="0">
      <selection activeCell="Y13" sqref="Y13"/>
    </sheetView>
  </sheetViews>
  <sheetFormatPr defaultRowHeight="14.4" x14ac:dyDescent="0.3"/>
  <cols>
    <col min="1" max="12" width="8.88671875" style="13"/>
    <col min="13" max="13" width="9.33203125" style="13" customWidth="1"/>
    <col min="14" max="16384" width="8.88671875" style="13"/>
  </cols>
  <sheetData>
    <row r="1" spans="1:21" ht="14.4" customHeight="1" x14ac:dyDescent="0.3">
      <c r="A1" s="17" t="s">
        <v>54</v>
      </c>
      <c r="B1" s="15"/>
      <c r="C1" s="15"/>
      <c r="D1" s="15"/>
      <c r="E1" s="15"/>
      <c r="F1" s="15"/>
      <c r="G1" s="15"/>
      <c r="H1" s="15"/>
      <c r="I1" s="15"/>
      <c r="J1" s="15"/>
      <c r="K1" s="15"/>
      <c r="L1" s="15"/>
      <c r="M1" s="15"/>
      <c r="N1" s="16"/>
      <c r="O1" s="16"/>
      <c r="P1" s="16"/>
      <c r="Q1" s="16"/>
      <c r="R1" s="16"/>
      <c r="S1" s="16"/>
      <c r="T1" s="16"/>
      <c r="U1" s="16"/>
    </row>
    <row r="2" spans="1:21" ht="14.4" customHeight="1" x14ac:dyDescent="0.3">
      <c r="A2" s="15"/>
      <c r="B2" s="15"/>
      <c r="C2" s="15"/>
      <c r="D2" s="15"/>
      <c r="E2" s="15"/>
      <c r="F2" s="15"/>
      <c r="G2" s="15"/>
      <c r="H2" s="15"/>
      <c r="I2" s="15"/>
      <c r="J2" s="15"/>
      <c r="K2" s="15"/>
      <c r="L2" s="15"/>
      <c r="M2" s="15"/>
      <c r="N2" s="16"/>
      <c r="O2" s="16"/>
      <c r="P2" s="16"/>
      <c r="Q2" s="16"/>
      <c r="R2" s="16"/>
      <c r="S2" s="16"/>
      <c r="T2" s="16"/>
      <c r="U2" s="16"/>
    </row>
    <row r="3" spans="1:21" ht="14.4" customHeight="1" x14ac:dyDescent="0.3">
      <c r="A3" s="15"/>
      <c r="B3" s="15"/>
      <c r="C3" s="15"/>
      <c r="D3" s="15"/>
      <c r="E3" s="15"/>
      <c r="F3" s="15"/>
      <c r="G3" s="15"/>
      <c r="H3" s="15"/>
      <c r="I3" s="15"/>
      <c r="J3" s="15"/>
      <c r="K3" s="15"/>
      <c r="L3" s="15"/>
      <c r="M3" s="15"/>
      <c r="N3" s="16"/>
      <c r="O3" s="16"/>
      <c r="P3" s="16"/>
      <c r="Q3" s="16"/>
      <c r="R3" s="16"/>
      <c r="S3" s="16"/>
      <c r="T3" s="16"/>
      <c r="U3" s="16"/>
    </row>
  </sheetData>
  <mergeCells count="1">
    <mergeCell ref="A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mkhanyisi zulu</cp:lastModifiedBy>
  <dcterms:created xsi:type="dcterms:W3CDTF">2022-03-18T02:50:57Z</dcterms:created>
  <dcterms:modified xsi:type="dcterms:W3CDTF">2026-03-26T06:31:40Z</dcterms:modified>
</cp:coreProperties>
</file>